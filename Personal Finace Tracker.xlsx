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E:\DA_ANB17 _SHAMINI\"/>
    </mc:Choice>
  </mc:AlternateContent>
  <xr:revisionPtr revIDLastSave="0" documentId="13_ncr:2001_{6722D792-4E12-4F66-89D4-F1F51953716A}" xr6:coauthVersionLast="47" xr6:coauthVersionMax="47" xr10:uidLastSave="{00000000-0000-0000-0000-000000000000}"/>
  <bookViews>
    <workbookView xWindow="-108" yWindow="-108" windowWidth="23256" windowHeight="12456" firstSheet="1" activeTab="4" xr2:uid="{AF2C1A13-B3C4-4B68-B881-7CCC1C8F6BDE}"/>
  </bookViews>
  <sheets>
    <sheet name="Sheet1" sheetId="1" state="hidden" r:id="rId1"/>
    <sheet name="Dashboard Copy" sheetId="7" r:id="rId2"/>
    <sheet name="Data set" sheetId="2" r:id="rId3"/>
    <sheet name="Pivot Table" sheetId="5" r:id="rId4"/>
    <sheet name="Dashboard" sheetId="6" r:id="rId5"/>
    <sheet name="Sheet3" sheetId="4" state="hidden" r:id="rId6"/>
  </sheets>
  <definedNames>
    <definedName name="Slicer_Quarters__Month">#N/A</definedName>
  </definedNames>
  <calcPr calcId="191029"/>
  <pivotCaches>
    <pivotCache cacheId="0" r:id="rId7"/>
  </pivotCaches>
  <fileRecoveryPr repairLoad="1"/>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D4" i="2"/>
  <c r="D5" i="2"/>
  <c r="D6" i="2"/>
  <c r="D7" i="2"/>
  <c r="D8" i="2"/>
  <c r="D9" i="2"/>
  <c r="D11" i="2"/>
  <c r="D12" i="2"/>
  <c r="D13" i="2"/>
  <c r="D14" i="2"/>
  <c r="D15" i="2"/>
  <c r="D16" i="2"/>
  <c r="D17" i="2"/>
  <c r="D18" i="2"/>
  <c r="D19" i="2"/>
  <c r="D20" i="2"/>
  <c r="D21" i="2"/>
  <c r="D22" i="2"/>
  <c r="D23" i="2"/>
  <c r="D24" i="2"/>
  <c r="D25" i="2"/>
  <c r="D26" i="2"/>
  <c r="D27" i="2"/>
  <c r="D2" i="2"/>
  <c r="C10" i="2"/>
  <c r="H8" i="2" s="1"/>
  <c r="E9" i="1"/>
  <c r="E10" i="1"/>
  <c r="E11" i="1"/>
  <c r="E12" i="1"/>
  <c r="E13" i="1"/>
  <c r="E14" i="1"/>
  <c r="E15" i="1"/>
  <c r="E16" i="1"/>
  <c r="E17" i="1"/>
  <c r="A13" i="1"/>
  <c r="A14" i="1" s="1"/>
  <c r="A15" i="1" s="1"/>
  <c r="A16" i="1" s="1"/>
  <c r="A8" i="1"/>
  <c r="A9" i="1"/>
  <c r="A10" i="1" s="1"/>
  <c r="A11" i="1" s="1"/>
  <c r="A12" i="1" s="1"/>
  <c r="E8" i="1"/>
  <c r="E5" i="1"/>
  <c r="E6" i="1"/>
  <c r="E7" i="1"/>
  <c r="E4" i="1"/>
  <c r="A5" i="1"/>
  <c r="A6" i="1"/>
  <c r="A7" i="1"/>
  <c r="A4" i="1"/>
  <c r="E3" i="1"/>
  <c r="A3" i="1"/>
  <c r="H4" i="2" l="1"/>
  <c r="H5" i="2"/>
  <c r="D10" i="2"/>
  <c r="G7" i="2" s="1"/>
  <c r="H7" i="2"/>
  <c r="G4" i="2" l="1"/>
  <c r="H6" i="2"/>
  <c r="G8" i="2"/>
  <c r="G6" i="2"/>
  <c r="G5" i="2"/>
</calcChain>
</file>

<file path=xl/sharedStrings.xml><?xml version="1.0" encoding="utf-8"?>
<sst xmlns="http://schemas.openxmlformats.org/spreadsheetml/2006/main" count="90" uniqueCount="64">
  <si>
    <t>Date</t>
  </si>
  <si>
    <t>Description</t>
  </si>
  <si>
    <t>Expenses</t>
  </si>
  <si>
    <t>Savings</t>
  </si>
  <si>
    <t>Income</t>
  </si>
  <si>
    <t>Opening Balance</t>
  </si>
  <si>
    <t>Salary</t>
  </si>
  <si>
    <t xml:space="preserve">Grocery </t>
  </si>
  <si>
    <t>phone &amp; wifi payment</t>
  </si>
  <si>
    <t>RD &amp; Chitty</t>
  </si>
  <si>
    <t>Car Loan &amp; interest from FD</t>
  </si>
  <si>
    <t>LIC Auto debit &amp; Salary Credit</t>
  </si>
  <si>
    <t>Grocery &amp; Utensils</t>
  </si>
  <si>
    <t>RD &amp; Chitty &amp; Hospital charges</t>
  </si>
  <si>
    <t>Movie &amp; dinner with family, Salary</t>
  </si>
  <si>
    <t>Marriage Function</t>
  </si>
  <si>
    <t>RD &amp; Chitty, Car service</t>
  </si>
  <si>
    <t>Month</t>
  </si>
  <si>
    <t>Expense</t>
  </si>
  <si>
    <t>data set</t>
  </si>
  <si>
    <t>removed duplicates from Month column</t>
  </si>
  <si>
    <t>missing values using if &amp; average functions</t>
  </si>
  <si>
    <t>correcting inconsistant data</t>
  </si>
  <si>
    <t>Mean</t>
  </si>
  <si>
    <t>Standard Deviation</t>
  </si>
  <si>
    <t>Min</t>
  </si>
  <si>
    <t>Max</t>
  </si>
  <si>
    <t>Median</t>
  </si>
  <si>
    <t>data exploaration and summarize</t>
  </si>
  <si>
    <t>sorting &amp; filtering</t>
  </si>
  <si>
    <t>pivot table</t>
  </si>
  <si>
    <t>Row Labels</t>
  </si>
  <si>
    <t>Grand Total</t>
  </si>
  <si>
    <t>2024</t>
  </si>
  <si>
    <t>2025</t>
  </si>
  <si>
    <t>2026</t>
  </si>
  <si>
    <t>Average of Savings</t>
  </si>
  <si>
    <t>Qtr1</t>
  </si>
  <si>
    <t>Qtr2</t>
  </si>
  <si>
    <t>Qtr3</t>
  </si>
  <si>
    <t>Qtr4</t>
  </si>
  <si>
    <t>Jan</t>
  </si>
  <si>
    <t>Feb</t>
  </si>
  <si>
    <t>Mar</t>
  </si>
  <si>
    <t>Apr</t>
  </si>
  <si>
    <t>May</t>
  </si>
  <si>
    <t>Jun</t>
  </si>
  <si>
    <t>Jul</t>
  </si>
  <si>
    <t>Aug</t>
  </si>
  <si>
    <t>Sep</t>
  </si>
  <si>
    <t>Oct</t>
  </si>
  <si>
    <t>Nov</t>
  </si>
  <si>
    <t>Dec</t>
  </si>
  <si>
    <t>Sum of Income</t>
  </si>
  <si>
    <t>Average of Income</t>
  </si>
  <si>
    <t>Sum of Expense</t>
  </si>
  <si>
    <t>Sum of expenses on month wise</t>
  </si>
  <si>
    <t>Sum of income on quarter wise</t>
  </si>
  <si>
    <t>Average of Expense</t>
  </si>
  <si>
    <t>Month wise average of  Savings &amp; Expenses</t>
  </si>
  <si>
    <t>Average savings on year wise</t>
  </si>
  <si>
    <t>Personal Finance Tracker Dashboard</t>
  </si>
  <si>
    <t>Personal Finance Tracker Dashboard COPY</t>
  </si>
  <si>
    <t>DASHBORD WITH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</si>
</sst>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65" formatCode="_ [$₹-4009]\ * #,##0.00_ ;_ [$₹-4009]\ * \-#,##0.00_ ;_ [$₹-4009]\ * &quot;-&quot;??_ ;_ @_ "/>
    <numFmt numFmtId="166" formatCode="_ [$₹-4009]\ * #,##0_ ;_ [$₹-4009]\ * \-#,##0_ ;_ [$₹-4009]\ * &quot;-&quot;??_ ;_ @_ "/>
    <numFmt numFmtId="167" formatCode="_ &quot;₹&quot;\ * #,##0_ ;_ &quot;₹&quot;\ * \-#,##0_ ;_ &quot;₹&quot;\ * &quot;-&quot;??_ ;_ @_ "/>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sz val="14"/>
      <color theme="1"/>
      <name val="Times New Roman"/>
      <family val="1"/>
    </font>
    <font>
      <b/>
      <sz val="14"/>
      <color rgb="FFFFFF00"/>
      <name val="Times New Roman"/>
      <family val="1"/>
    </font>
    <font>
      <b/>
      <i/>
      <sz val="11"/>
      <color theme="1"/>
      <name val="Aptos Narrow"/>
      <family val="2"/>
      <scheme val="minor"/>
    </font>
    <font>
      <b/>
      <sz val="20"/>
      <color theme="3" tint="9.9978637043366805E-2"/>
      <name val="Algerian"/>
      <family val="5"/>
    </font>
    <font>
      <b/>
      <sz val="20"/>
      <color rgb="FF7030A0"/>
      <name val="Algerian"/>
      <family val="5"/>
    </font>
  </fonts>
  <fills count="7">
    <fill>
      <patternFill patternType="none"/>
    </fill>
    <fill>
      <patternFill patternType="gray125"/>
    </fill>
    <fill>
      <gradientFill type="path" left="0.5" right="0.5" top="0.5" bottom="0.5">
        <stop position="0">
          <color theme="7"/>
        </stop>
        <stop position="1">
          <color theme="8" tint="0.59999389629810485"/>
        </stop>
      </gradientFill>
    </fill>
    <fill>
      <gradientFill>
        <stop position="0">
          <color theme="8" tint="0.40000610370189521"/>
        </stop>
        <stop position="1">
          <color theme="7" tint="0.40000610370189521"/>
        </stop>
      </gradientFill>
    </fill>
    <fill>
      <patternFill patternType="solid">
        <fgColor theme="4" tint="0.39997558519241921"/>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8">
    <xf numFmtId="0" fontId="0" fillId="0" borderId="0" xfId="0"/>
    <xf numFmtId="0" fontId="3" fillId="0" borderId="0" xfId="0" applyFont="1" applyAlignment="1">
      <alignment horizontal="center"/>
    </xf>
    <xf numFmtId="0" fontId="0" fillId="0" borderId="0" xfId="0" applyAlignment="1">
      <alignment horizontal="center"/>
    </xf>
    <xf numFmtId="0" fontId="4" fillId="2" borderId="1" xfId="0" applyFont="1"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164" fontId="4" fillId="2" borderId="1" xfId="1" applyNumberFormat="1" applyFont="1" applyFill="1" applyBorder="1" applyAlignment="1">
      <alignment horizontal="center"/>
    </xf>
    <xf numFmtId="164" fontId="0" fillId="0" borderId="1" xfId="1" applyNumberFormat="1" applyFont="1" applyBorder="1" applyAlignment="1">
      <alignment horizontal="center"/>
    </xf>
    <xf numFmtId="164" fontId="0" fillId="0" borderId="0" xfId="1" applyNumberFormat="1" applyFont="1" applyAlignment="1">
      <alignment horizontal="center"/>
    </xf>
    <xf numFmtId="0" fontId="4" fillId="3" borderId="0" xfId="0" applyFont="1" applyFill="1" applyAlignment="1">
      <alignment horizontal="center"/>
    </xf>
    <xf numFmtId="0" fontId="4" fillId="0" borderId="0" xfId="0" applyFont="1" applyAlignment="1">
      <alignment horizontal="center"/>
    </xf>
    <xf numFmtId="17" fontId="0" fillId="0" borderId="0" xfId="0" applyNumberFormat="1" applyAlignment="1">
      <alignment horizontal="center"/>
    </xf>
    <xf numFmtId="165" fontId="0" fillId="4" borderId="0" xfId="0" applyNumberFormat="1" applyFill="1" applyAlignment="1">
      <alignment horizontal="center"/>
    </xf>
    <xf numFmtId="166" fontId="4" fillId="3" borderId="0" xfId="0" applyNumberFormat="1" applyFont="1" applyFill="1" applyAlignment="1">
      <alignment horizontal="center"/>
    </xf>
    <xf numFmtId="166" fontId="0" fillId="0" borderId="0" xfId="0" applyNumberFormat="1" applyAlignment="1">
      <alignment horizontal="center"/>
    </xf>
    <xf numFmtId="166" fontId="0" fillId="0" borderId="0" xfId="0" applyNumberFormat="1"/>
    <xf numFmtId="0" fontId="2" fillId="5" borderId="0" xfId="0" applyFont="1" applyFill="1" applyAlignment="1">
      <alignment horizontal="center"/>
    </xf>
    <xf numFmtId="0" fontId="0" fillId="0" borderId="0" xfId="0" pivotButton="1"/>
    <xf numFmtId="0" fontId="0" fillId="0" borderId="0" xfId="0" applyAlignment="1">
      <alignment horizontal="left"/>
    </xf>
    <xf numFmtId="0" fontId="5" fillId="0" borderId="0" xfId="0" applyFont="1"/>
    <xf numFmtId="0" fontId="2" fillId="0" borderId="0" xfId="0" applyFont="1" applyAlignment="1">
      <alignment horizontal="left"/>
    </xf>
    <xf numFmtId="0" fontId="5" fillId="0" borderId="0" xfId="0" applyFont="1" applyAlignment="1">
      <alignment horizontal="left"/>
    </xf>
    <xf numFmtId="166" fontId="2" fillId="0" borderId="0" xfId="0" applyNumberFormat="1" applyFont="1"/>
    <xf numFmtId="167" fontId="2" fillId="0" borderId="0" xfId="0" applyNumberFormat="1" applyFont="1"/>
    <xf numFmtId="0" fontId="0" fillId="0" borderId="0" xfId="0" applyNumberFormat="1"/>
    <xf numFmtId="0" fontId="0" fillId="6" borderId="0" xfId="0" applyFill="1"/>
    <xf numFmtId="0" fontId="7" fillId="6" borderId="0" xfId="0" applyFont="1" applyFill="1"/>
    <xf numFmtId="0" fontId="6" fillId="6" borderId="0" xfId="0" applyFont="1" applyFill="1"/>
  </cellXfs>
  <cellStyles count="2">
    <cellStyle name="Comma" xfId="1" builtinId="3"/>
    <cellStyle name="Normal" xfId="0" builtinId="0"/>
  </cellStyles>
  <dxfs count="32">
    <dxf>
      <font>
        <b/>
      </font>
    </dxf>
    <dxf>
      <numFmt numFmtId="167" formatCode="_ &quot;₹&quot;\ * #,##0_ ;_ &quot;₹&quot;\ * \-#,##0_ ;_ &quot;₹&quot;\ * &quot;-&quot;??_ ;_ @_ "/>
    </dxf>
    <dxf>
      <font>
        <b/>
      </font>
    </dxf>
    <dxf>
      <numFmt numFmtId="166" formatCode="_ [$₹-4009]\ * #,##0_ ;_ [$₹-4009]\ * \-#,##0_ ;_ [$₹-4009]\ * &quot;-&quot;??_ ;_ @_ "/>
    </dxf>
    <dxf>
      <font>
        <b/>
      </font>
    </dxf>
    <dxf>
      <numFmt numFmtId="167" formatCode="_ &quot;₹&quot;\ * #,##0_ ;_ &quot;₹&quot;\ * \-#,##0_ ;_ &quot;₹&quot;\ * &quot;-&quot;??_ ;_ @_ "/>
    </dxf>
    <dxf>
      <font>
        <b/>
      </font>
    </dxf>
    <dxf>
      <numFmt numFmtId="166" formatCode="_ [$₹-4009]\ * #,##0_ ;_ [$₹-4009]\ * \-#,##0_ ;_ [$₹-4009]\ * &quot;-&quot;??_ ;_ @_ "/>
    </dxf>
    <dxf>
      <font>
        <b/>
      </font>
    </dxf>
    <dxf>
      <numFmt numFmtId="167" formatCode="_ &quot;₹&quot;\ * #,##0_ ;_ &quot;₹&quot;\ * \-#,##0_ ;_ &quot;₹&quot;\ * &quot;-&quot;??_ ;_ @_ "/>
    </dxf>
    <dxf>
      <font>
        <b/>
      </font>
    </dxf>
    <dxf>
      <numFmt numFmtId="166" formatCode="_ [$₹-4009]\ * #,##0_ ;_ [$₹-4009]\ * \-#,##0_ ;_ [$₹-4009]\ * &quot;-&quot;??_ ;_ @_ "/>
    </dxf>
    <dxf>
      <font>
        <b/>
      </font>
    </dxf>
    <dxf>
      <numFmt numFmtId="167" formatCode="_ &quot;₹&quot;\ * #,##0_ ;_ &quot;₹&quot;\ * \-#,##0_ ;_ &quot;₹&quot;\ * &quot;-&quot;??_ ;_ @_ "/>
    </dxf>
    <dxf>
      <font>
        <b/>
      </font>
    </dxf>
    <dxf>
      <numFmt numFmtId="166" formatCode="_ [$₹-4009]\ * #,##0_ ;_ [$₹-4009]\ * \-#,##0_ ;_ [$₹-4009]\ * &quot;-&quot;??_ ;_ @_ "/>
    </dxf>
    <dxf>
      <numFmt numFmtId="166" formatCode="_ [$₹-4009]\ * #,##0_ ;_ [$₹-4009]\ * \-#,##0_ ;_ [$₹-4009]\ * &quot;-&quot;??_ ;_ @_ "/>
    </dxf>
    <dxf>
      <font>
        <b/>
      </font>
    </dxf>
    <dxf>
      <numFmt numFmtId="167" formatCode="_ &quot;₹&quot;\ * #,##0_ ;_ &quot;₹&quot;\ * \-#,##0_ ;_ &quot;₹&quot;\ * &quot;-&quot;??_ ;_ @_ "/>
    </dxf>
    <dxf>
      <font>
        <b/>
      </font>
    </dxf>
    <dxf>
      <numFmt numFmtId="166" formatCode="_ [$₹-4009]\ * #,##0_ ;_ [$₹-4009]\ * \-#,##0_ ;_ [$₹-4009]\ * &quot;-&quot;??_ ;_ @_ "/>
    </dxf>
    <dxf>
      <numFmt numFmtId="166" formatCode="_ [$₹-4009]\ * #,##0_ ;_ [$₹-4009]\ * \-#,##0_ ;_ [$₹-4009]\ * &quot;-&quot;??_ ;_ @_ "/>
    </dxf>
    <dxf>
      <numFmt numFmtId="166" formatCode="_ [$₹-4009]\ * #,##0_ ;_ [$₹-4009]\ * \-#,##0_ ;_ [$₹-4009]\ * &quot;-&quot;??_ ;_ @_ "/>
      <alignment horizontal="center" vertical="bottom" textRotation="0" wrapText="0" indent="0" justifyLastLine="0" shrinkToFit="0" readingOrder="0"/>
    </dxf>
    <dxf>
      <numFmt numFmtId="166" formatCode="_ [$₹-4009]\ * #,##0_ ;_ [$₹-4009]\ * \-#,##0_ ;_ [$₹-4009]\ * &quot;-&quot;??_ ;_ @_ "/>
      <alignment horizontal="center" vertical="bottom" textRotation="0" wrapText="0" indent="0" justifyLastLine="0" shrinkToFit="0" readingOrder="0"/>
    </dxf>
    <dxf>
      <numFmt numFmtId="166" formatCode="_ [$₹-4009]\ * #,##0_ ;_ [$₹-4009]\ * \-#,##0_ ;_ [$₹-4009]\ * &quot;-&quot;??_ ;_ @_ "/>
      <alignment horizontal="center" vertical="bottom" textRotation="0" wrapText="0" indent="0" justifyLastLine="0" shrinkToFit="0" readingOrder="0"/>
    </dxf>
    <dxf>
      <numFmt numFmtId="22" formatCode="mmm/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4"/>
        <color rgb="FFFFFF00"/>
        <name val="Times New Roman"/>
        <family val="1"/>
        <scheme val="none"/>
      </font>
      <fill>
        <gradientFill>
          <stop position="0">
            <color theme="8" tint="0.40000610370189521"/>
          </stop>
          <stop position="1">
            <color theme="7" tint="0.40000610370189521"/>
          </stop>
        </gradientFill>
      </fill>
      <alignment horizontal="center" vertical="bottom" textRotation="0" wrapText="0" indent="0" justifyLastLine="0" shrinkToFit="0" readingOrder="0"/>
    </dxf>
    <dxf>
      <font>
        <b/>
      </font>
    </dxf>
    <dxf>
      <numFmt numFmtId="167" formatCode="_ &quot;₹&quot;\ * #,##0_ ;_ &quot;₹&quot;\ * \-#,##0_ ;_ &quot;₹&quot;\ * &quot;-&quot;??_ ;_ @_ "/>
    </dxf>
    <dxf>
      <font>
        <b/>
      </font>
    </dxf>
    <dxf>
      <numFmt numFmtId="166" formatCode="_ [$₹-4009]\ * #,##0_ ;_ [$₹-4009]\ * \-#,##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Finace Tracker.xlsx]Pivot Table!Average savings on month wise</c:name>
    <c:fmtId val="0"/>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a:solidFill>
                  <a:schemeClr val="tx2">
                    <a:lumMod val="75000"/>
                    <a:lumOff val="25000"/>
                  </a:schemeClr>
                </a:solidFill>
              </a:rPr>
              <a:t>Average Savings on year wise</a:t>
            </a:r>
          </a:p>
        </c:rich>
      </c:tx>
      <c:layout>
        <c:manualLayout>
          <c:xMode val="edge"/>
          <c:yMode val="edge"/>
          <c:x val="0.27530808833807013"/>
          <c:y val="3.00751879699248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Table'!$B$4</c:f>
              <c:strCache>
                <c:ptCount val="1"/>
                <c:pt idx="0">
                  <c:v>Average of Savings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Table'!$A$5:$A$8</c:f>
              <c:strCache>
                <c:ptCount val="3"/>
                <c:pt idx="0">
                  <c:v>2024</c:v>
                </c:pt>
                <c:pt idx="1">
                  <c:v>2025</c:v>
                </c:pt>
                <c:pt idx="2">
                  <c:v>2026</c:v>
                </c:pt>
              </c:strCache>
            </c:strRef>
          </c:cat>
          <c:val>
            <c:numRef>
              <c:f>'Pivot Table'!$B$5:$B$8</c:f>
              <c:numCache>
                <c:formatCode>_ [$₹-4009]\ * #,##0_ ;_ [$₹-4009]\ * \-#,##0_ ;_ [$₹-4009]\ * "-"??_ ;_ @_ </c:formatCode>
                <c:ptCount val="3"/>
                <c:pt idx="0">
                  <c:v>12779.316666666666</c:v>
                </c:pt>
                <c:pt idx="1">
                  <c:v>14910.916666666666</c:v>
                </c:pt>
                <c:pt idx="2">
                  <c:v>9605</c:v>
                </c:pt>
              </c:numCache>
            </c:numRef>
          </c:val>
          <c:extLst>
            <c:ext xmlns:c16="http://schemas.microsoft.com/office/drawing/2014/chart" uri="{C3380CC4-5D6E-409C-BE32-E72D297353CC}">
              <c16:uniqueId val="{00000000-E24D-43A8-8B3E-48C5F99B3926}"/>
            </c:ext>
          </c:extLst>
        </c:ser>
        <c:ser>
          <c:idx val="1"/>
          <c:order val="1"/>
          <c:tx>
            <c:strRef>
              <c:f>'Pivot Table'!$C$4</c:f>
              <c:strCache>
                <c:ptCount val="1"/>
                <c:pt idx="0">
                  <c:v>Average of Income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Table'!$A$5:$A$8</c:f>
              <c:strCache>
                <c:ptCount val="3"/>
                <c:pt idx="0">
                  <c:v>2024</c:v>
                </c:pt>
                <c:pt idx="1">
                  <c:v>2025</c:v>
                </c:pt>
                <c:pt idx="2">
                  <c:v>2026</c:v>
                </c:pt>
              </c:strCache>
            </c:strRef>
          </c:cat>
          <c:val>
            <c:numRef>
              <c:f>'Pivot Table'!$C$5:$C$8</c:f>
              <c:numCache>
                <c:formatCode>_ [$₹-4009]\ * #,##0_ ;_ [$₹-4009]\ * \-#,##0_ ;_ [$₹-4009]\ * "-"??_ ;_ @_ </c:formatCode>
                <c:ptCount val="3"/>
                <c:pt idx="0">
                  <c:v>28916.666666666668</c:v>
                </c:pt>
                <c:pt idx="1">
                  <c:v>31033.333333333332</c:v>
                </c:pt>
                <c:pt idx="2">
                  <c:v>32200</c:v>
                </c:pt>
              </c:numCache>
            </c:numRef>
          </c:val>
          <c:extLst>
            <c:ext xmlns:c16="http://schemas.microsoft.com/office/drawing/2014/chart" uri="{C3380CC4-5D6E-409C-BE32-E72D297353CC}">
              <c16:uniqueId val="{00000001-E24D-43A8-8B3E-48C5F99B3926}"/>
            </c:ext>
          </c:extLst>
        </c:ser>
        <c:dLbls>
          <c:dLblPos val="ctr"/>
          <c:showLegendKey val="0"/>
          <c:showVal val="1"/>
          <c:showCatName val="0"/>
          <c:showSerName val="0"/>
          <c:showPercent val="0"/>
          <c:showBubbleSize val="0"/>
        </c:dLbls>
        <c:gapWidth val="150"/>
        <c:overlap val="100"/>
        <c:axId val="712072047"/>
        <c:axId val="712083087"/>
      </c:barChart>
      <c:catAx>
        <c:axId val="71207204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712083087"/>
        <c:crosses val="autoZero"/>
        <c:auto val="1"/>
        <c:lblAlgn val="ctr"/>
        <c:lblOffset val="100"/>
        <c:noMultiLvlLbl val="0"/>
      </c:catAx>
      <c:valAx>
        <c:axId val="712083087"/>
        <c:scaling>
          <c:orientation val="minMax"/>
        </c:scaling>
        <c:delete val="0"/>
        <c:axPos val="l"/>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20720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Finace Tracker.xlsx]Pivot Table!sum of expenses on month wise</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Expenses on month wise</a:t>
            </a:r>
          </a:p>
        </c:rich>
      </c:tx>
      <c:layout>
        <c:manualLayout>
          <c:xMode val="edge"/>
          <c:yMode val="edge"/>
          <c:x val="0.25023317569885267"/>
          <c:y val="2.78235835703783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22558303560073"/>
          <c:y val="0.18311518324607329"/>
          <c:w val="0.66774505609706281"/>
          <c:h val="0.52950351101400284"/>
        </c:manualLayout>
      </c:layout>
      <c:lineChart>
        <c:grouping val="standard"/>
        <c:varyColors val="0"/>
        <c:ser>
          <c:idx val="0"/>
          <c:order val="0"/>
          <c:tx>
            <c:strRef>
              <c:f>'Pivot Table'!$B$12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Table'!$B$13:$B$25</c:f>
              <c:numCache>
                <c:formatCode>_ [$₹-4009]\ * #,##0_ ;_ [$₹-4009]\ * \-#,##0_ ;_ [$₹-4009]\ * "-"??_ ;_ @_ </c:formatCode>
                <c:ptCount val="12"/>
                <c:pt idx="0">
                  <c:v>48180</c:v>
                </c:pt>
                <c:pt idx="1">
                  <c:v>55800</c:v>
                </c:pt>
                <c:pt idx="2">
                  <c:v>21650</c:v>
                </c:pt>
                <c:pt idx="3">
                  <c:v>38750</c:v>
                </c:pt>
                <c:pt idx="4">
                  <c:v>32470</c:v>
                </c:pt>
                <c:pt idx="5">
                  <c:v>36300</c:v>
                </c:pt>
                <c:pt idx="6">
                  <c:v>32101</c:v>
                </c:pt>
                <c:pt idx="7">
                  <c:v>33401</c:v>
                </c:pt>
                <c:pt idx="8">
                  <c:v>29108.2</c:v>
                </c:pt>
                <c:pt idx="9">
                  <c:v>41289</c:v>
                </c:pt>
                <c:pt idx="10">
                  <c:v>25580</c:v>
                </c:pt>
                <c:pt idx="11">
                  <c:v>37678</c:v>
                </c:pt>
              </c:numCache>
            </c:numRef>
          </c:val>
          <c:smooth val="0"/>
          <c:extLst>
            <c:ext xmlns:c16="http://schemas.microsoft.com/office/drawing/2014/chart" uri="{C3380CC4-5D6E-409C-BE32-E72D297353CC}">
              <c16:uniqueId val="{00000000-B550-48CB-ADA7-F9E773FB3415}"/>
            </c:ext>
          </c:extLst>
        </c:ser>
        <c:dLbls>
          <c:dLblPos val="t"/>
          <c:showLegendKey val="0"/>
          <c:showVal val="1"/>
          <c:showCatName val="0"/>
          <c:showSerName val="0"/>
          <c:showPercent val="0"/>
          <c:showBubbleSize val="0"/>
        </c:dLbls>
        <c:marker val="1"/>
        <c:smooth val="0"/>
        <c:axId val="682244111"/>
        <c:axId val="682248911"/>
      </c:lineChart>
      <c:catAx>
        <c:axId val="6822441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Month</a:t>
                </a:r>
              </a:p>
              <a:p>
                <a:pPr>
                  <a:defRPr/>
                </a:pPr>
                <a:endParaRPr lang="en-IN"/>
              </a:p>
            </c:rich>
          </c:tx>
          <c:layout>
            <c:manualLayout>
              <c:xMode val="edge"/>
              <c:yMode val="edge"/>
              <c:x val="0.47014891233130568"/>
              <c:y val="0.7696781131525225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2248911"/>
        <c:crosses val="autoZero"/>
        <c:auto val="1"/>
        <c:lblAlgn val="ctr"/>
        <c:lblOffset val="100"/>
        <c:noMultiLvlLbl val="0"/>
      </c:catAx>
      <c:valAx>
        <c:axId val="68224891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Expenses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822441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Finace Tracker.xlsx]Pivot Table!sum of income on quarter wise</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income on quarter wise</a:t>
            </a:r>
          </a:p>
          <a:p>
            <a:pPr>
              <a:defRPr/>
            </a:pPr>
            <a:endParaRPr lang="en-US"/>
          </a:p>
        </c:rich>
      </c:tx>
      <c:layout>
        <c:manualLayout>
          <c:xMode val="edge"/>
          <c:yMode val="edge"/>
          <c:x val="0.24514566929133857"/>
          <c:y val="7.30533683289588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Table'!$B$29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3F2-43F3-929D-ED0AFEF0E55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3F2-43F3-929D-ED0AFEF0E55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3F2-43F3-929D-ED0AFEF0E55D}"/>
              </c:ext>
            </c:extLst>
          </c:dPt>
          <c:dPt>
            <c:idx val="3"/>
            <c:bubble3D val="0"/>
            <c:explosion val="1"/>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16D8-481F-88E0-A308B18E562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Table'!$A$30:$A$34</c:f>
              <c:strCache>
                <c:ptCount val="4"/>
                <c:pt idx="0">
                  <c:v>Qtr1</c:v>
                </c:pt>
                <c:pt idx="1">
                  <c:v>Qtr2</c:v>
                </c:pt>
                <c:pt idx="2">
                  <c:v>Qtr3</c:v>
                </c:pt>
                <c:pt idx="3">
                  <c:v>Qtr4</c:v>
                </c:pt>
              </c:strCache>
            </c:strRef>
          </c:cat>
          <c:val>
            <c:numRef>
              <c:f>'Pivot Table'!$B$30:$B$34</c:f>
              <c:numCache>
                <c:formatCode>_ [$₹-4009]\ * #,##0_ ;_ [$₹-4009]\ * \-#,##0_ ;_ [$₹-4009]\ * "-"??_ ;_ @_ </c:formatCode>
                <c:ptCount val="4"/>
                <c:pt idx="0">
                  <c:v>239000</c:v>
                </c:pt>
                <c:pt idx="1">
                  <c:v>174600</c:v>
                </c:pt>
                <c:pt idx="2">
                  <c:v>183000</c:v>
                </c:pt>
                <c:pt idx="3">
                  <c:v>187200</c:v>
                </c:pt>
              </c:numCache>
            </c:numRef>
          </c:val>
          <c:extLst>
            <c:ext xmlns:c16="http://schemas.microsoft.com/office/drawing/2014/chart" uri="{C3380CC4-5D6E-409C-BE32-E72D297353CC}">
              <c16:uniqueId val="{00000000-16D8-481F-88E0-A308B18E562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Finace Tracker.xlsx]Pivot Table!Month wise average of  Savings &amp; Expenses</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 wise average of savings &amp; expenses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c:f>
              <c:strCache>
                <c:ptCount val="1"/>
                <c:pt idx="0">
                  <c:v>Average of Expense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Table'!$A$39:$A$51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Table'!$B$39:$B$51</c:f>
              <c:numCache>
                <c:formatCode>_ "₹"\ * #,##0_ ;_ "₹"\ * \-#,##0_ ;_ "₹"\ * "-"??_ ;_ @_ </c:formatCode>
                <c:ptCount val="12"/>
                <c:pt idx="0">
                  <c:v>16060</c:v>
                </c:pt>
                <c:pt idx="1">
                  <c:v>18600</c:v>
                </c:pt>
                <c:pt idx="2">
                  <c:v>10825</c:v>
                </c:pt>
                <c:pt idx="3">
                  <c:v>19375</c:v>
                </c:pt>
                <c:pt idx="4">
                  <c:v>16235</c:v>
                </c:pt>
                <c:pt idx="5">
                  <c:v>18150</c:v>
                </c:pt>
                <c:pt idx="6">
                  <c:v>16050.5</c:v>
                </c:pt>
                <c:pt idx="7">
                  <c:v>16700.5</c:v>
                </c:pt>
                <c:pt idx="8">
                  <c:v>14554.1</c:v>
                </c:pt>
                <c:pt idx="9">
                  <c:v>20644.5</c:v>
                </c:pt>
                <c:pt idx="10">
                  <c:v>12790</c:v>
                </c:pt>
                <c:pt idx="11">
                  <c:v>18839</c:v>
                </c:pt>
              </c:numCache>
            </c:numRef>
          </c:val>
          <c:extLst>
            <c:ext xmlns:c16="http://schemas.microsoft.com/office/drawing/2014/chart" uri="{C3380CC4-5D6E-409C-BE32-E72D297353CC}">
              <c16:uniqueId val="{00000000-6D99-42D5-A4C9-EC41B439602D}"/>
            </c:ext>
          </c:extLst>
        </c:ser>
        <c:dLbls>
          <c:showLegendKey val="0"/>
          <c:showVal val="0"/>
          <c:showCatName val="0"/>
          <c:showSerName val="0"/>
          <c:showPercent val="0"/>
          <c:showBubbleSize val="0"/>
        </c:dLbls>
        <c:gapWidth val="219"/>
        <c:overlap val="-27"/>
        <c:axId val="668126703"/>
        <c:axId val="668125263"/>
      </c:barChart>
      <c:lineChart>
        <c:grouping val="standard"/>
        <c:varyColors val="0"/>
        <c:ser>
          <c:idx val="1"/>
          <c:order val="1"/>
          <c:tx>
            <c:strRef>
              <c:f>'Pivot Table'!$C$38</c:f>
              <c:strCache>
                <c:ptCount val="1"/>
                <c:pt idx="0">
                  <c:v>Average of Savings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Table'!$A$39:$A$51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Table'!$C$39:$C$51</c:f>
              <c:numCache>
                <c:formatCode>_ [$₹-4009]\ * #,##0_ ;_ [$₹-4009]\ * \-#,##0_ ;_ [$₹-4009]\ * "-"??_ ;_ @_ </c:formatCode>
                <c:ptCount val="12"/>
                <c:pt idx="0">
                  <c:v>14073.333333333334</c:v>
                </c:pt>
                <c:pt idx="1">
                  <c:v>11533.333333333334</c:v>
                </c:pt>
                <c:pt idx="2">
                  <c:v>18275</c:v>
                </c:pt>
                <c:pt idx="3">
                  <c:v>9725</c:v>
                </c:pt>
                <c:pt idx="4">
                  <c:v>12865</c:v>
                </c:pt>
                <c:pt idx="5">
                  <c:v>10950</c:v>
                </c:pt>
                <c:pt idx="6">
                  <c:v>13049.5</c:v>
                </c:pt>
                <c:pt idx="7">
                  <c:v>14499.5</c:v>
                </c:pt>
                <c:pt idx="8">
                  <c:v>16645.900000000001</c:v>
                </c:pt>
                <c:pt idx="9">
                  <c:v>10555.5</c:v>
                </c:pt>
                <c:pt idx="10">
                  <c:v>18410</c:v>
                </c:pt>
                <c:pt idx="11">
                  <c:v>12361</c:v>
                </c:pt>
              </c:numCache>
            </c:numRef>
          </c:val>
          <c:smooth val="0"/>
          <c:extLst>
            <c:ext xmlns:c16="http://schemas.microsoft.com/office/drawing/2014/chart" uri="{C3380CC4-5D6E-409C-BE32-E72D297353CC}">
              <c16:uniqueId val="{00000001-6D99-42D5-A4C9-EC41B439602D}"/>
            </c:ext>
          </c:extLst>
        </c:ser>
        <c:dLbls>
          <c:showLegendKey val="0"/>
          <c:showVal val="0"/>
          <c:showCatName val="0"/>
          <c:showSerName val="0"/>
          <c:showPercent val="0"/>
          <c:showBubbleSize val="0"/>
        </c:dLbls>
        <c:marker val="1"/>
        <c:smooth val="0"/>
        <c:axId val="668126703"/>
        <c:axId val="668125263"/>
      </c:lineChart>
      <c:catAx>
        <c:axId val="6681267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8125263"/>
        <c:crosses val="autoZero"/>
        <c:auto val="1"/>
        <c:lblAlgn val="ctr"/>
        <c:lblOffset val="100"/>
        <c:noMultiLvlLbl val="0"/>
      </c:catAx>
      <c:valAx>
        <c:axId val="668125263"/>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812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alpha val="71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Finace Tracker.xlsx]Pivot Table!Average savings on month wise</c:name>
    <c:fmtId val="6"/>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a:solidFill>
                  <a:schemeClr val="tx2">
                    <a:lumMod val="75000"/>
                    <a:lumOff val="25000"/>
                  </a:schemeClr>
                </a:solidFill>
              </a:rPr>
              <a:t>Average Savings on year wise</a:t>
            </a:r>
          </a:p>
        </c:rich>
      </c:tx>
      <c:layout>
        <c:manualLayout>
          <c:xMode val="edge"/>
          <c:yMode val="edge"/>
          <c:x val="0.27530808833807013"/>
          <c:y val="3.00751879699248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Table'!$B$4</c:f>
              <c:strCache>
                <c:ptCount val="1"/>
                <c:pt idx="0">
                  <c:v>Average of Savings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Table'!$A$5:$A$8</c:f>
              <c:strCache>
                <c:ptCount val="3"/>
                <c:pt idx="0">
                  <c:v>2024</c:v>
                </c:pt>
                <c:pt idx="1">
                  <c:v>2025</c:v>
                </c:pt>
                <c:pt idx="2">
                  <c:v>2026</c:v>
                </c:pt>
              </c:strCache>
            </c:strRef>
          </c:cat>
          <c:val>
            <c:numRef>
              <c:f>'Pivot Table'!$B$5:$B$8</c:f>
              <c:numCache>
                <c:formatCode>_ [$₹-4009]\ * #,##0_ ;_ [$₹-4009]\ * \-#,##0_ ;_ [$₹-4009]\ * "-"??_ ;_ @_ </c:formatCode>
                <c:ptCount val="3"/>
                <c:pt idx="0">
                  <c:v>12779.316666666666</c:v>
                </c:pt>
                <c:pt idx="1">
                  <c:v>14910.916666666666</c:v>
                </c:pt>
                <c:pt idx="2">
                  <c:v>9605</c:v>
                </c:pt>
              </c:numCache>
            </c:numRef>
          </c:val>
          <c:extLst>
            <c:ext xmlns:c16="http://schemas.microsoft.com/office/drawing/2014/chart" uri="{C3380CC4-5D6E-409C-BE32-E72D297353CC}">
              <c16:uniqueId val="{00000000-C733-41D4-9E46-7DCB0FC7E493}"/>
            </c:ext>
          </c:extLst>
        </c:ser>
        <c:ser>
          <c:idx val="1"/>
          <c:order val="1"/>
          <c:tx>
            <c:strRef>
              <c:f>'Pivot Table'!$C$4</c:f>
              <c:strCache>
                <c:ptCount val="1"/>
                <c:pt idx="0">
                  <c:v>Average of Income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Table'!$A$5:$A$8</c:f>
              <c:strCache>
                <c:ptCount val="3"/>
                <c:pt idx="0">
                  <c:v>2024</c:v>
                </c:pt>
                <c:pt idx="1">
                  <c:v>2025</c:v>
                </c:pt>
                <c:pt idx="2">
                  <c:v>2026</c:v>
                </c:pt>
              </c:strCache>
            </c:strRef>
          </c:cat>
          <c:val>
            <c:numRef>
              <c:f>'Pivot Table'!$C$5:$C$8</c:f>
              <c:numCache>
                <c:formatCode>_ [$₹-4009]\ * #,##0_ ;_ [$₹-4009]\ * \-#,##0_ ;_ [$₹-4009]\ * "-"??_ ;_ @_ </c:formatCode>
                <c:ptCount val="3"/>
                <c:pt idx="0">
                  <c:v>28916.666666666668</c:v>
                </c:pt>
                <c:pt idx="1">
                  <c:v>31033.333333333332</c:v>
                </c:pt>
                <c:pt idx="2">
                  <c:v>32200</c:v>
                </c:pt>
              </c:numCache>
            </c:numRef>
          </c:val>
          <c:extLst>
            <c:ext xmlns:c16="http://schemas.microsoft.com/office/drawing/2014/chart" uri="{C3380CC4-5D6E-409C-BE32-E72D297353CC}">
              <c16:uniqueId val="{00000001-C733-41D4-9E46-7DCB0FC7E493}"/>
            </c:ext>
          </c:extLst>
        </c:ser>
        <c:dLbls>
          <c:dLblPos val="ctr"/>
          <c:showLegendKey val="0"/>
          <c:showVal val="1"/>
          <c:showCatName val="0"/>
          <c:showSerName val="0"/>
          <c:showPercent val="0"/>
          <c:showBubbleSize val="0"/>
        </c:dLbls>
        <c:gapWidth val="150"/>
        <c:overlap val="100"/>
        <c:axId val="712072047"/>
        <c:axId val="712083087"/>
      </c:barChart>
      <c:catAx>
        <c:axId val="71207204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712083087"/>
        <c:crosses val="autoZero"/>
        <c:auto val="1"/>
        <c:lblAlgn val="ctr"/>
        <c:lblOffset val="100"/>
        <c:noMultiLvlLbl val="0"/>
      </c:catAx>
      <c:valAx>
        <c:axId val="712083087"/>
        <c:scaling>
          <c:orientation val="minMax"/>
        </c:scaling>
        <c:delete val="0"/>
        <c:axPos val="l"/>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20720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Finace Tracker.xlsx]Pivot Table!sum of expenses on month wise</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Expenses on month wise</a:t>
            </a:r>
          </a:p>
        </c:rich>
      </c:tx>
      <c:layout>
        <c:manualLayout>
          <c:xMode val="edge"/>
          <c:yMode val="edge"/>
          <c:x val="0.25023317569885267"/>
          <c:y val="2.78235835703783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14827494389289"/>
          <c:y val="0.18311518324607329"/>
          <c:w val="0.69431511278481495"/>
          <c:h val="0.63578378789607826"/>
        </c:manualLayout>
      </c:layout>
      <c:lineChart>
        <c:grouping val="standard"/>
        <c:varyColors val="0"/>
        <c:ser>
          <c:idx val="0"/>
          <c:order val="0"/>
          <c:tx>
            <c:strRef>
              <c:f>'Pivot Table'!$B$12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Table'!$B$13:$B$25</c:f>
              <c:numCache>
                <c:formatCode>_ [$₹-4009]\ * #,##0_ ;_ [$₹-4009]\ * \-#,##0_ ;_ [$₹-4009]\ * "-"??_ ;_ @_ </c:formatCode>
                <c:ptCount val="12"/>
                <c:pt idx="0">
                  <c:v>48180</c:v>
                </c:pt>
                <c:pt idx="1">
                  <c:v>55800</c:v>
                </c:pt>
                <c:pt idx="2">
                  <c:v>21650</c:v>
                </c:pt>
                <c:pt idx="3">
                  <c:v>38750</c:v>
                </c:pt>
                <c:pt idx="4">
                  <c:v>32470</c:v>
                </c:pt>
                <c:pt idx="5">
                  <c:v>36300</c:v>
                </c:pt>
                <c:pt idx="6">
                  <c:v>32101</c:v>
                </c:pt>
                <c:pt idx="7">
                  <c:v>33401</c:v>
                </c:pt>
                <c:pt idx="8">
                  <c:v>29108.2</c:v>
                </c:pt>
                <c:pt idx="9">
                  <c:v>41289</c:v>
                </c:pt>
                <c:pt idx="10">
                  <c:v>25580</c:v>
                </c:pt>
                <c:pt idx="11">
                  <c:v>37678</c:v>
                </c:pt>
              </c:numCache>
            </c:numRef>
          </c:val>
          <c:smooth val="0"/>
          <c:extLst>
            <c:ext xmlns:c16="http://schemas.microsoft.com/office/drawing/2014/chart" uri="{C3380CC4-5D6E-409C-BE32-E72D297353CC}">
              <c16:uniqueId val="{00000000-1810-4305-B37D-1B96388FC5D2}"/>
            </c:ext>
          </c:extLst>
        </c:ser>
        <c:dLbls>
          <c:dLblPos val="t"/>
          <c:showLegendKey val="0"/>
          <c:showVal val="1"/>
          <c:showCatName val="0"/>
          <c:showSerName val="0"/>
          <c:showPercent val="0"/>
          <c:showBubbleSize val="0"/>
        </c:dLbls>
        <c:marker val="1"/>
        <c:smooth val="0"/>
        <c:axId val="682244111"/>
        <c:axId val="682248911"/>
      </c:lineChart>
      <c:catAx>
        <c:axId val="6822441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Month</a:t>
                </a:r>
              </a:p>
              <a:p>
                <a:pPr>
                  <a:defRPr/>
                </a:pPr>
                <a:endParaRPr lang="en-IN"/>
              </a:p>
            </c:rich>
          </c:tx>
          <c:layout>
            <c:manualLayout>
              <c:xMode val="edge"/>
              <c:yMode val="edge"/>
              <c:x val="0.47014892160219102"/>
              <c:y val="0.8759583856365780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2248911"/>
        <c:crosses val="autoZero"/>
        <c:auto val="1"/>
        <c:lblAlgn val="ctr"/>
        <c:lblOffset val="100"/>
        <c:noMultiLvlLbl val="0"/>
      </c:catAx>
      <c:valAx>
        <c:axId val="68224891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Expenses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822441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Finace Tracker.xlsx]Pivot Table!sum of income on quarter wise</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income on quarter wise</a:t>
            </a:r>
          </a:p>
          <a:p>
            <a:pPr>
              <a:defRPr/>
            </a:pPr>
            <a:endParaRPr lang="en-US"/>
          </a:p>
        </c:rich>
      </c:tx>
      <c:layout>
        <c:manualLayout>
          <c:xMode val="edge"/>
          <c:yMode val="edge"/>
          <c:x val="0.24514566929133857"/>
          <c:y val="7.30533683289588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Table'!$B$29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95B-4F0E-958C-0069AA00074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95B-4F0E-958C-0069AA00074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95B-4F0E-958C-0069AA000744}"/>
              </c:ext>
            </c:extLst>
          </c:dPt>
          <c:dPt>
            <c:idx val="3"/>
            <c:bubble3D val="0"/>
            <c:explosion val="1"/>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95B-4F0E-958C-0069AA00074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Table'!$A$30:$A$34</c:f>
              <c:strCache>
                <c:ptCount val="4"/>
                <c:pt idx="0">
                  <c:v>Qtr1</c:v>
                </c:pt>
                <c:pt idx="1">
                  <c:v>Qtr2</c:v>
                </c:pt>
                <c:pt idx="2">
                  <c:v>Qtr3</c:v>
                </c:pt>
                <c:pt idx="3">
                  <c:v>Qtr4</c:v>
                </c:pt>
              </c:strCache>
            </c:strRef>
          </c:cat>
          <c:val>
            <c:numRef>
              <c:f>'Pivot Table'!$B$30:$B$34</c:f>
              <c:numCache>
                <c:formatCode>_ [$₹-4009]\ * #,##0_ ;_ [$₹-4009]\ * \-#,##0_ ;_ [$₹-4009]\ * "-"??_ ;_ @_ </c:formatCode>
                <c:ptCount val="4"/>
                <c:pt idx="0">
                  <c:v>239000</c:v>
                </c:pt>
                <c:pt idx="1">
                  <c:v>174600</c:v>
                </c:pt>
                <c:pt idx="2">
                  <c:v>183000</c:v>
                </c:pt>
                <c:pt idx="3">
                  <c:v>187200</c:v>
                </c:pt>
              </c:numCache>
            </c:numRef>
          </c:val>
          <c:extLst>
            <c:ext xmlns:c16="http://schemas.microsoft.com/office/drawing/2014/chart" uri="{C3380CC4-5D6E-409C-BE32-E72D297353CC}">
              <c16:uniqueId val="{00000008-495B-4F0E-958C-0069AA00074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Finace Tracker.xlsx]Pivot Table!Month wise average of  Savings &amp; Expenses</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 wise average of savings &amp; expenses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c:f>
              <c:strCache>
                <c:ptCount val="1"/>
                <c:pt idx="0">
                  <c:v>Average of Expense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Table'!$A$39:$A$51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Table'!$B$39:$B$51</c:f>
              <c:numCache>
                <c:formatCode>_ "₹"\ * #,##0_ ;_ "₹"\ * \-#,##0_ ;_ "₹"\ * "-"??_ ;_ @_ </c:formatCode>
                <c:ptCount val="12"/>
                <c:pt idx="0">
                  <c:v>16060</c:v>
                </c:pt>
                <c:pt idx="1">
                  <c:v>18600</c:v>
                </c:pt>
                <c:pt idx="2">
                  <c:v>10825</c:v>
                </c:pt>
                <c:pt idx="3">
                  <c:v>19375</c:v>
                </c:pt>
                <c:pt idx="4">
                  <c:v>16235</c:v>
                </c:pt>
                <c:pt idx="5">
                  <c:v>18150</c:v>
                </c:pt>
                <c:pt idx="6">
                  <c:v>16050.5</c:v>
                </c:pt>
                <c:pt idx="7">
                  <c:v>16700.5</c:v>
                </c:pt>
                <c:pt idx="8">
                  <c:v>14554.1</c:v>
                </c:pt>
                <c:pt idx="9">
                  <c:v>20644.5</c:v>
                </c:pt>
                <c:pt idx="10">
                  <c:v>12790</c:v>
                </c:pt>
                <c:pt idx="11">
                  <c:v>18839</c:v>
                </c:pt>
              </c:numCache>
            </c:numRef>
          </c:val>
          <c:extLst>
            <c:ext xmlns:c16="http://schemas.microsoft.com/office/drawing/2014/chart" uri="{C3380CC4-5D6E-409C-BE32-E72D297353CC}">
              <c16:uniqueId val="{00000000-C359-4609-B77C-DE68AB42B2C5}"/>
            </c:ext>
          </c:extLst>
        </c:ser>
        <c:dLbls>
          <c:showLegendKey val="0"/>
          <c:showVal val="0"/>
          <c:showCatName val="0"/>
          <c:showSerName val="0"/>
          <c:showPercent val="0"/>
          <c:showBubbleSize val="0"/>
        </c:dLbls>
        <c:gapWidth val="219"/>
        <c:overlap val="-27"/>
        <c:axId val="668126703"/>
        <c:axId val="668125263"/>
      </c:barChart>
      <c:lineChart>
        <c:grouping val="standard"/>
        <c:varyColors val="0"/>
        <c:ser>
          <c:idx val="1"/>
          <c:order val="1"/>
          <c:tx>
            <c:strRef>
              <c:f>'Pivot Table'!$C$38</c:f>
              <c:strCache>
                <c:ptCount val="1"/>
                <c:pt idx="0">
                  <c:v>Average of Savings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Table'!$A$39:$A$51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Table'!$C$39:$C$51</c:f>
              <c:numCache>
                <c:formatCode>_ [$₹-4009]\ * #,##0_ ;_ [$₹-4009]\ * \-#,##0_ ;_ [$₹-4009]\ * "-"??_ ;_ @_ </c:formatCode>
                <c:ptCount val="12"/>
                <c:pt idx="0">
                  <c:v>14073.333333333334</c:v>
                </c:pt>
                <c:pt idx="1">
                  <c:v>11533.333333333334</c:v>
                </c:pt>
                <c:pt idx="2">
                  <c:v>18275</c:v>
                </c:pt>
                <c:pt idx="3">
                  <c:v>9725</c:v>
                </c:pt>
                <c:pt idx="4">
                  <c:v>12865</c:v>
                </c:pt>
                <c:pt idx="5">
                  <c:v>10950</c:v>
                </c:pt>
                <c:pt idx="6">
                  <c:v>13049.5</c:v>
                </c:pt>
                <c:pt idx="7">
                  <c:v>14499.5</c:v>
                </c:pt>
                <c:pt idx="8">
                  <c:v>16645.900000000001</c:v>
                </c:pt>
                <c:pt idx="9">
                  <c:v>10555.5</c:v>
                </c:pt>
                <c:pt idx="10">
                  <c:v>18410</c:v>
                </c:pt>
                <c:pt idx="11">
                  <c:v>12361</c:v>
                </c:pt>
              </c:numCache>
            </c:numRef>
          </c:val>
          <c:smooth val="0"/>
          <c:extLst>
            <c:ext xmlns:c16="http://schemas.microsoft.com/office/drawing/2014/chart" uri="{C3380CC4-5D6E-409C-BE32-E72D297353CC}">
              <c16:uniqueId val="{00000001-C359-4609-B77C-DE68AB42B2C5}"/>
            </c:ext>
          </c:extLst>
        </c:ser>
        <c:dLbls>
          <c:showLegendKey val="0"/>
          <c:showVal val="0"/>
          <c:showCatName val="0"/>
          <c:showSerName val="0"/>
          <c:showPercent val="0"/>
          <c:showBubbleSize val="0"/>
        </c:dLbls>
        <c:marker val="1"/>
        <c:smooth val="0"/>
        <c:axId val="668126703"/>
        <c:axId val="668125263"/>
      </c:lineChart>
      <c:catAx>
        <c:axId val="6681267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8125263"/>
        <c:crosses val="autoZero"/>
        <c:auto val="1"/>
        <c:lblAlgn val="ctr"/>
        <c:lblOffset val="100"/>
        <c:noMultiLvlLbl val="0"/>
      </c:catAx>
      <c:valAx>
        <c:axId val="668125263"/>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812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alpha val="71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601980</xdr:colOff>
      <xdr:row>1</xdr:row>
      <xdr:rowOff>137160</xdr:rowOff>
    </xdr:from>
    <xdr:to>
      <xdr:col>20</xdr:col>
      <xdr:colOff>422596</xdr:colOff>
      <xdr:row>31</xdr:row>
      <xdr:rowOff>176031</xdr:rowOff>
    </xdr:to>
    <xdr:pic>
      <xdr:nvPicPr>
        <xdr:cNvPr id="2" name="Picture 1">
          <a:extLst>
            <a:ext uri="{FF2B5EF4-FFF2-40B4-BE49-F238E27FC236}">
              <a16:creationId xmlns:a16="http://schemas.microsoft.com/office/drawing/2014/main" id="{CDB1096D-45D4-1005-EAEF-FB9286D9E9AC}"/>
            </a:ext>
          </a:extLst>
        </xdr:cNvPr>
        <xdr:cNvPicPr>
          <a:picLocks noChangeAspect="1"/>
        </xdr:cNvPicPr>
      </xdr:nvPicPr>
      <xdr:blipFill>
        <a:blip xmlns:r="http://schemas.openxmlformats.org/officeDocument/2006/relationships" r:embed="rId1"/>
        <a:stretch>
          <a:fillRect/>
        </a:stretch>
      </xdr:blipFill>
      <xdr:spPr>
        <a:xfrm>
          <a:off x="1211580" y="495300"/>
          <a:ext cx="11403016" cy="55252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396240</xdr:colOff>
      <xdr:row>0</xdr:row>
      <xdr:rowOff>41910</xdr:rowOff>
    </xdr:from>
    <xdr:to>
      <xdr:col>13</xdr:col>
      <xdr:colOff>60960</xdr:colOff>
      <xdr:row>14</xdr:row>
      <xdr:rowOff>15240</xdr:rowOff>
    </xdr:to>
    <xdr:graphicFrame macro="">
      <xdr:nvGraphicFramePr>
        <xdr:cNvPr id="2" name="Chart 1">
          <a:extLst>
            <a:ext uri="{FF2B5EF4-FFF2-40B4-BE49-F238E27FC236}">
              <a16:creationId xmlns:a16="http://schemas.microsoft.com/office/drawing/2014/main" id="{E489E564-483B-E05E-C113-5AD2B42F4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320040</xdr:colOff>
      <xdr:row>14</xdr:row>
      <xdr:rowOff>91440</xdr:rowOff>
    </xdr:from>
    <xdr:to>
      <xdr:col>13</xdr:col>
      <xdr:colOff>22860</xdr:colOff>
      <xdr:row>30</xdr:row>
      <xdr:rowOff>76200</xdr:rowOff>
    </xdr:to>
    <xdr:graphicFrame macro="">
      <xdr:nvGraphicFramePr>
        <xdr:cNvPr id="3" name="Chart 2">
          <a:extLst>
            <a:ext uri="{FF2B5EF4-FFF2-40B4-BE49-F238E27FC236}">
              <a16:creationId xmlns:a16="http://schemas.microsoft.com/office/drawing/2014/main" id="{C013AAD8-C4AA-F1C3-BF66-A88FAB116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335280</xdr:colOff>
      <xdr:row>31</xdr:row>
      <xdr:rowOff>102870</xdr:rowOff>
    </xdr:from>
    <xdr:to>
      <xdr:col>13</xdr:col>
      <xdr:colOff>7620</xdr:colOff>
      <xdr:row>46</xdr:row>
      <xdr:rowOff>102870</xdr:rowOff>
    </xdr:to>
    <xdr:graphicFrame macro="">
      <xdr:nvGraphicFramePr>
        <xdr:cNvPr id="4" name="Chart 3">
          <a:extLst>
            <a:ext uri="{FF2B5EF4-FFF2-40B4-BE49-F238E27FC236}">
              <a16:creationId xmlns:a16="http://schemas.microsoft.com/office/drawing/2014/main" id="{39C50F33-DE84-6395-62C1-22276454F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373380</xdr:colOff>
      <xdr:row>47</xdr:row>
      <xdr:rowOff>3810</xdr:rowOff>
    </xdr:from>
    <xdr:to>
      <xdr:col>12</xdr:col>
      <xdr:colOff>579120</xdr:colOff>
      <xdr:row>62</xdr:row>
      <xdr:rowOff>3810</xdr:rowOff>
    </xdr:to>
    <xdr:graphicFrame macro="">
      <xdr:nvGraphicFramePr>
        <xdr:cNvPr id="5" name="Chart 4">
          <a:extLst>
            <a:ext uri="{FF2B5EF4-FFF2-40B4-BE49-F238E27FC236}">
              <a16:creationId xmlns:a16="http://schemas.microsoft.com/office/drawing/2014/main" id="{4B1F80EE-ECFE-569B-FD5D-89EB5009F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24063</xdr:colOff>
      <xdr:row>3</xdr:row>
      <xdr:rowOff>0</xdr:rowOff>
    </xdr:from>
    <xdr:to>
      <xdr:col>10</xdr:col>
      <xdr:colOff>298383</xdr:colOff>
      <xdr:row>16</xdr:row>
      <xdr:rowOff>106680</xdr:rowOff>
    </xdr:to>
    <xdr:graphicFrame macro="">
      <xdr:nvGraphicFramePr>
        <xdr:cNvPr id="6" name="Chart 5">
          <a:extLst>
            <a:ext uri="{FF2B5EF4-FFF2-40B4-BE49-F238E27FC236}">
              <a16:creationId xmlns:a16="http://schemas.microsoft.com/office/drawing/2014/main" id="{CBC93504-D721-4220-AF56-151B965D3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xdr:row>
      <xdr:rowOff>0</xdr:rowOff>
    </xdr:from>
    <xdr:to>
      <xdr:col>19</xdr:col>
      <xdr:colOff>381000</xdr:colOff>
      <xdr:row>16</xdr:row>
      <xdr:rowOff>76200</xdr:rowOff>
    </xdr:to>
    <xdr:graphicFrame macro="">
      <xdr:nvGraphicFramePr>
        <xdr:cNvPr id="7" name="Chart 6">
          <a:extLst>
            <a:ext uri="{FF2B5EF4-FFF2-40B4-BE49-F238E27FC236}">
              <a16:creationId xmlns:a16="http://schemas.microsoft.com/office/drawing/2014/main" id="{82703C90-3F18-4964-A7F5-18A153DAE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18</xdr:row>
      <xdr:rowOff>0</xdr:rowOff>
    </xdr:from>
    <xdr:to>
      <xdr:col>10</xdr:col>
      <xdr:colOff>281940</xdr:colOff>
      <xdr:row>33</xdr:row>
      <xdr:rowOff>0</xdr:rowOff>
    </xdr:to>
    <xdr:graphicFrame macro="">
      <xdr:nvGraphicFramePr>
        <xdr:cNvPr id="8" name="Chart 7">
          <a:extLst>
            <a:ext uri="{FF2B5EF4-FFF2-40B4-BE49-F238E27FC236}">
              <a16:creationId xmlns:a16="http://schemas.microsoft.com/office/drawing/2014/main" id="{4DCF7E78-9C93-4442-8B1F-0BCA58AF0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18</xdr:row>
      <xdr:rowOff>0</xdr:rowOff>
    </xdr:from>
    <xdr:to>
      <xdr:col>19</xdr:col>
      <xdr:colOff>396240</xdr:colOff>
      <xdr:row>33</xdr:row>
      <xdr:rowOff>0</xdr:rowOff>
    </xdr:to>
    <xdr:graphicFrame macro="">
      <xdr:nvGraphicFramePr>
        <xdr:cNvPr id="9" name="Chart 8">
          <a:extLst>
            <a:ext uri="{FF2B5EF4-FFF2-40B4-BE49-F238E27FC236}">
              <a16:creationId xmlns:a16="http://schemas.microsoft.com/office/drawing/2014/main" id="{5B846ED5-74B0-431F-82B3-7E2CD3555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xdr:colOff>
      <xdr:row>2</xdr:row>
      <xdr:rowOff>71789</xdr:rowOff>
    </xdr:from>
    <xdr:to>
      <xdr:col>1</xdr:col>
      <xdr:colOff>545432</xdr:colOff>
      <xdr:row>14</xdr:row>
      <xdr:rowOff>128338</xdr:rowOff>
    </xdr:to>
    <mc:AlternateContent xmlns:mc="http://schemas.openxmlformats.org/markup-compatibility/2006">
      <mc:Choice xmlns:a14="http://schemas.microsoft.com/office/drawing/2010/main" Requires="a14">
        <xdr:graphicFrame macro="">
          <xdr:nvGraphicFramePr>
            <xdr:cNvPr id="2" name="Quarters (Month)">
              <a:extLst>
                <a:ext uri="{FF2B5EF4-FFF2-40B4-BE49-F238E27FC236}">
                  <a16:creationId xmlns:a16="http://schemas.microsoft.com/office/drawing/2014/main" id="{63C65593-5ED8-C418-BB9A-67CA3CB96E98}"/>
                </a:ext>
              </a:extLst>
            </xdr:cNvPr>
            <xdr:cNvGraphicFramePr/>
          </xdr:nvGraphicFramePr>
          <xdr:xfrm>
            <a:off x="0" y="0"/>
            <a:ext cx="0" cy="0"/>
          </xdr:xfrm>
          <a:graphic>
            <a:graphicData uri="http://schemas.microsoft.com/office/drawing/2010/slicer">
              <sle:slicer xmlns:sle="http://schemas.microsoft.com/office/drawing/2010/slicer" name="Quarters (Month)"/>
            </a:graphicData>
          </a:graphic>
        </xdr:graphicFrame>
      </mc:Choice>
      <mc:Fallback>
        <xdr:sp macro="" textlink="">
          <xdr:nvSpPr>
            <xdr:cNvPr id="0" name=""/>
            <xdr:cNvSpPr>
              <a:spLocks noTextEdit="1"/>
            </xdr:cNvSpPr>
          </xdr:nvSpPr>
          <xdr:spPr>
            <a:xfrm>
              <a:off x="1" y="616075"/>
              <a:ext cx="1151921" cy="2466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LKUMAR1" refreshedDate="46084.639861342592" createdVersion="8" refreshedVersion="8" minRefreshableVersion="3" recordCount="26" xr:uid="{2C6B734D-F4BC-40F9-976A-98D260857F71}">
  <cacheSource type="worksheet">
    <worksheetSource name="Finance_Tracker"/>
  </cacheSource>
  <cacheFields count="7">
    <cacheField name="Month" numFmtId="17">
      <sharedItems containsSemiMixedTypes="0" containsNonDate="0" containsDate="1" containsString="0" minDate="2024-01-01T00:00:00" maxDate="2026-02-02T00:00:00" count="26">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sharedItems>
      <fieldGroup par="6"/>
    </cacheField>
    <cacheField name="Income" numFmtId="166">
      <sharedItems containsSemiMixedTypes="0" containsString="0" containsNumber="1" containsInteger="1" minValue="28000" maxValue="32200" count="3">
        <n v="28000"/>
        <n v="30200"/>
        <n v="32200"/>
      </sharedItems>
    </cacheField>
    <cacheField name="Expense" numFmtId="0">
      <sharedItems containsSemiMixedTypes="0" containsString="0" containsNumber="1" minValue="5600" maxValue="27690"/>
    </cacheField>
    <cacheField name="Savings" numFmtId="166">
      <sharedItems containsSemiMixedTypes="0" containsString="0" containsNumber="1" minValue="3450" maxValue="24600"/>
    </cacheField>
    <cacheField name="Months (Month)" numFmtId="0" databaseField="0">
      <fieldGroup base="0">
        <rangePr groupBy="months" startDate="2024-01-01T00:00:00" endDate="2026-02-02T00:00:00"/>
        <groupItems count="14">
          <s v="&lt;01-01-2024"/>
          <s v="Jan"/>
          <s v="Feb"/>
          <s v="Mar"/>
          <s v="Apr"/>
          <s v="May"/>
          <s v="Jun"/>
          <s v="Jul"/>
          <s v="Aug"/>
          <s v="Sep"/>
          <s v="Oct"/>
          <s v="Nov"/>
          <s v="Dec"/>
          <s v="&gt;02-02-2026"/>
        </groupItems>
      </fieldGroup>
    </cacheField>
    <cacheField name="Quarters (Month)" numFmtId="0" databaseField="0">
      <fieldGroup base="0">
        <rangePr groupBy="quarters" startDate="2024-01-01T00:00:00" endDate="2026-02-02T00:00:00"/>
        <groupItems count="6">
          <s v="&lt;01-01-2024"/>
          <s v="Qtr1"/>
          <s v="Qtr2"/>
          <s v="Qtr3"/>
          <s v="Qtr4"/>
          <s v="&gt;02-02-2026"/>
        </groupItems>
      </fieldGroup>
    </cacheField>
    <cacheField name="Years (Month)" numFmtId="0" databaseField="0">
      <fieldGroup base="0">
        <rangePr groupBy="years" startDate="2024-01-01T00:00:00" endDate="2026-02-02T00:00:00"/>
        <groupItems count="5">
          <s v="&lt;01-01-2024"/>
          <s v="2024"/>
          <s v="2025"/>
          <s v="2026"/>
          <s v="&gt;02-02-2026"/>
        </groupItems>
      </fieldGroup>
    </cacheField>
  </cacheFields>
  <extLst>
    <ext xmlns:x14="http://schemas.microsoft.com/office/spreadsheetml/2009/9/main" uri="{725AE2AE-9491-48be-B2B4-4EB974FC3084}">
      <x14:pivotCacheDefinition pivotCacheId="2030725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x v="0"/>
    <n v="15000"/>
    <n v="13000"/>
  </r>
  <r>
    <x v="1"/>
    <x v="0"/>
    <n v="14550"/>
    <n v="13450"/>
  </r>
  <r>
    <x v="2"/>
    <x v="0"/>
    <n v="16050"/>
    <n v="11950"/>
  </r>
  <r>
    <x v="3"/>
    <x v="0"/>
    <n v="12000"/>
    <n v="16000"/>
  </r>
  <r>
    <x v="4"/>
    <x v="0"/>
    <n v="15620"/>
    <n v="12380"/>
  </r>
  <r>
    <x v="5"/>
    <x v="0"/>
    <n v="19800"/>
    <n v="8200"/>
  </r>
  <r>
    <x v="6"/>
    <x v="0"/>
    <n v="12231"/>
    <n v="15769"/>
  </r>
  <r>
    <x v="7"/>
    <x v="1"/>
    <n v="18650"/>
    <n v="11550"/>
  </r>
  <r>
    <x v="8"/>
    <x v="1"/>
    <n v="16627.2"/>
    <n v="13572.8"/>
  </r>
  <r>
    <x v="9"/>
    <x v="1"/>
    <n v="25620"/>
    <n v="4580"/>
  </r>
  <r>
    <x v="10"/>
    <x v="1"/>
    <n v="15500"/>
    <n v="14700"/>
  </r>
  <r>
    <x v="11"/>
    <x v="1"/>
    <n v="12000"/>
    <n v="18200"/>
  </r>
  <r>
    <x v="12"/>
    <x v="1"/>
    <n v="15680"/>
    <n v="14520"/>
  </r>
  <r>
    <x v="13"/>
    <x v="1"/>
    <n v="13560"/>
    <n v="16640"/>
  </r>
  <r>
    <x v="14"/>
    <x v="1"/>
    <n v="5600"/>
    <n v="24600"/>
  </r>
  <r>
    <x v="15"/>
    <x v="1"/>
    <n v="26750"/>
    <n v="3450"/>
  </r>
  <r>
    <x v="16"/>
    <x v="1"/>
    <n v="16850"/>
    <n v="13350"/>
  </r>
  <r>
    <x v="17"/>
    <x v="1"/>
    <n v="16500"/>
    <n v="13700"/>
  </r>
  <r>
    <x v="18"/>
    <x v="1"/>
    <n v="19870"/>
    <n v="10330"/>
  </r>
  <r>
    <x v="19"/>
    <x v="2"/>
    <n v="14751"/>
    <n v="17449"/>
  </r>
  <r>
    <x v="20"/>
    <x v="2"/>
    <n v="12481"/>
    <n v="19719"/>
  </r>
  <r>
    <x v="21"/>
    <x v="2"/>
    <n v="15669"/>
    <n v="16531"/>
  </r>
  <r>
    <x v="22"/>
    <x v="2"/>
    <n v="10080"/>
    <n v="22120"/>
  </r>
  <r>
    <x v="23"/>
    <x v="2"/>
    <n v="25678"/>
    <n v="6522"/>
  </r>
  <r>
    <x v="24"/>
    <x v="2"/>
    <n v="17500"/>
    <n v="14700"/>
  </r>
  <r>
    <x v="25"/>
    <x v="2"/>
    <n v="27690"/>
    <n v="45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F743E3-0172-4DF6-B901-DCEE3BB0774A}" name="Average savings on month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C8" firstHeaderRow="0" firstDataRow="1" firstDataCol="1"/>
  <pivotFields count="7">
    <pivotField numFmtId="17"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numFmtId="166" showAll="0"/>
    <pivotField showAll="0"/>
    <pivotField dataField="1" numFmtId="166"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6"/>
  </rowFields>
  <rowItems count="4">
    <i>
      <x v="1"/>
    </i>
    <i>
      <x v="2"/>
    </i>
    <i>
      <x v="3"/>
    </i>
    <i t="grand">
      <x/>
    </i>
  </rowItems>
  <colFields count="1">
    <field x="-2"/>
  </colFields>
  <colItems count="2">
    <i>
      <x/>
    </i>
    <i i="1">
      <x v="1"/>
    </i>
  </colItems>
  <dataFields count="2">
    <dataField name="Average of Savings" fld="3" subtotal="average" baseField="6" baseItem="1" numFmtId="166"/>
    <dataField name="Average of Income" fld="1" subtotal="average" baseField="6" baseItem="3" numFmtId="166"/>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99CB24-28AB-481F-877F-A1243E4B4810}" name="Month wise average of  Savings &amp; Expens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8:C51" firstHeaderRow="0" firstDataRow="1" firstDataCol="1"/>
  <pivotFields count="7">
    <pivotField numFmtId="17"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66" showAll="0"/>
    <pivotField dataField="1" showAll="0"/>
    <pivotField dataField="1" numFmtId="166"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Expense" fld="2" subtotal="average" baseField="4" baseItem="1"/>
    <dataField name="Average of Savings" fld="3" subtotal="average" baseField="4" baseItem="1" numFmtId="166"/>
  </dataFields>
  <formats count="2">
    <format dxfId="29">
      <pivotArea collapsedLevelsAreSubtotals="1" fieldPosition="0">
        <references count="2">
          <reference field="4294967294" count="1" selected="0">
            <x v="0"/>
          </reference>
          <reference field="4" count="12">
            <x v="1"/>
            <x v="2"/>
            <x v="3"/>
            <x v="4"/>
            <x v="5"/>
            <x v="6"/>
            <x v="7"/>
            <x v="8"/>
            <x v="9"/>
            <x v="10"/>
            <x v="11"/>
            <x v="12"/>
          </reference>
        </references>
      </pivotArea>
    </format>
    <format dxfId="28">
      <pivotArea dataOnly="0" fieldPosition="0">
        <references count="1">
          <reference field="4" count="12">
            <x v="1"/>
            <x v="2"/>
            <x v="3"/>
            <x v="4"/>
            <x v="5"/>
            <x v="6"/>
            <x v="7"/>
            <x v="8"/>
            <x v="9"/>
            <x v="10"/>
            <x v="11"/>
            <x v="12"/>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7DC188-E2DE-4975-8B66-B4B6004A739F}" name="sum of income on quarter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9:B34" firstHeaderRow="1" firstDataRow="1" firstDataCol="1"/>
  <pivotFields count="7">
    <pivotField numFmtId="17"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numFmtId="166" showAll="0"/>
    <pivotField showAll="0"/>
    <pivotField numFmtId="166"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5">
    <i>
      <x v="1"/>
    </i>
    <i>
      <x v="2"/>
    </i>
    <i>
      <x v="3"/>
    </i>
    <i>
      <x v="4"/>
    </i>
    <i t="grand">
      <x/>
    </i>
  </rowItems>
  <colItems count="1">
    <i/>
  </colItems>
  <dataFields count="1">
    <dataField name="Sum of Income" fld="1" baseField="0" baseItem="0" numFmtId="166"/>
  </dataFields>
  <formats count="1">
    <format dxfId="30">
      <pivotArea dataOnly="0" fieldPosition="0">
        <references count="1">
          <reference field="5" count="4">
            <x v="1"/>
            <x v="2"/>
            <x v="3"/>
            <x v="4"/>
          </reference>
        </references>
      </pivotArea>
    </format>
  </formats>
  <chartFormats count="1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1"/>
          </reference>
        </references>
      </pivotArea>
    </chartFormat>
    <chartFormat chart="6" format="8">
      <pivotArea type="data" outline="0" fieldPosition="0">
        <references count="2">
          <reference field="4294967294" count="1" selected="0">
            <x v="0"/>
          </reference>
          <reference field="5" count="1" selected="0">
            <x v="2"/>
          </reference>
        </references>
      </pivotArea>
    </chartFormat>
    <chartFormat chart="6" format="9">
      <pivotArea type="data" outline="0" fieldPosition="0">
        <references count="2">
          <reference field="4294967294" count="1" selected="0">
            <x v="0"/>
          </reference>
          <reference field="5" count="1" selected="0">
            <x v="3"/>
          </reference>
        </references>
      </pivotArea>
    </chartFormat>
    <chartFormat chart="6" format="10">
      <pivotArea type="data" outline="0" fieldPosition="0">
        <references count="2">
          <reference field="4294967294" count="1" selected="0">
            <x v="0"/>
          </reference>
          <reference field="5" count="1" selected="0">
            <x v="4"/>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5" count="1" selected="0">
            <x v="1"/>
          </reference>
        </references>
      </pivotArea>
    </chartFormat>
    <chartFormat chart="8" format="18">
      <pivotArea type="data" outline="0" fieldPosition="0">
        <references count="2">
          <reference field="4294967294" count="1" selected="0">
            <x v="0"/>
          </reference>
          <reference field="5" count="1" selected="0">
            <x v="2"/>
          </reference>
        </references>
      </pivotArea>
    </chartFormat>
    <chartFormat chart="8" format="19">
      <pivotArea type="data" outline="0" fieldPosition="0">
        <references count="2">
          <reference field="4294967294" count="1" selected="0">
            <x v="0"/>
          </reference>
          <reference field="5" count="1" selected="0">
            <x v="3"/>
          </reference>
        </references>
      </pivotArea>
    </chartFormat>
    <chartFormat chart="8" format="20">
      <pivotArea type="data" outline="0" fieldPosition="0">
        <references count="2">
          <reference field="4294967294" count="1" selected="0">
            <x v="0"/>
          </reference>
          <reference field="5" count="1" selected="0">
            <x v="4"/>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A8750C-9601-4E37-BFD6-C86A642474CD}" name="sum of expenses on month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B25" firstHeaderRow="1" firstDataRow="1" firstDataCol="1"/>
  <pivotFields count="7">
    <pivotField numFmtId="17"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numFmtId="166" showAll="0"/>
    <pivotField dataField="1" showAll="0"/>
    <pivotField numFmtId="166"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4"/>
    <field x="6"/>
  </rowFields>
  <rowItems count="13">
    <i>
      <x v="1"/>
    </i>
    <i>
      <x v="2"/>
    </i>
    <i>
      <x v="3"/>
    </i>
    <i>
      <x v="4"/>
    </i>
    <i>
      <x v="5"/>
    </i>
    <i>
      <x v="6"/>
    </i>
    <i>
      <x v="7"/>
    </i>
    <i>
      <x v="8"/>
    </i>
    <i>
      <x v="9"/>
    </i>
    <i>
      <x v="10"/>
    </i>
    <i>
      <x v="11"/>
    </i>
    <i>
      <x v="12"/>
    </i>
    <i t="grand">
      <x/>
    </i>
  </rowItems>
  <colItems count="1">
    <i/>
  </colItems>
  <dataFields count="1">
    <dataField name="Sum of Expense" fld="2" baseField="0" baseItem="0" numFmtId="166"/>
  </dataFields>
  <formats count="1">
    <format dxfId="3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Month" xr10:uid="{B306514E-CFB0-4BFE-A8C9-01F7C42CBCED}" sourceName="Quarters (Month)">
  <pivotTables>
    <pivotTable tabId="5" name="sum of expenses on month wise"/>
    <pivotTable tabId="5" name="Average savings on month wise"/>
    <pivotTable tabId="5" name="Month wise average of  Savings &amp; Expenses"/>
    <pivotTable tabId="5" name="sum of income on quarter wise"/>
  </pivotTables>
  <data>
    <tabular pivotCacheId="2030725782">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Month)" xr10:uid="{AAA8E129-E7C4-44B1-AEA3-6D39AD3D448E}" cache="Slicer_Quarters__Month" caption="Quarters (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ED96A6-A3B8-4444-88F9-955CCFA9B886}" name="Finance_Tracker" displayName="Finance_Tracker" ref="A1:D27" totalsRowShown="0" headerRowDxfId="27" dataDxfId="26">
  <autoFilter ref="A1:D27" xr:uid="{1EED96A6-A3B8-4444-88F9-955CCFA9B886}"/>
  <tableColumns count="4">
    <tableColumn id="1" xr3:uid="{C442988C-826A-487C-9A9E-531B171A8A01}" name="Month" dataDxfId="25"/>
    <tableColumn id="2" xr3:uid="{80D6F844-9266-4152-ADA4-A24755ACDEB0}" name="Income" dataDxfId="24"/>
    <tableColumn id="3" xr3:uid="{AD4A3397-E373-43EE-AB61-803065008C7A}" name="Expense" dataDxfId="23"/>
    <tableColumn id="4" xr3:uid="{3F8449C6-A822-41C1-8D4D-598F2D22B025}" name="Savings" dataDxfId="22">
      <calculatedColumnFormula>IF(OR(ISBLANK(B2),ISBLANK(C2)),AVERAGE(B2:B27)-AVERAGE(C2:C27),B2-C2)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4DFB7-14F6-4B80-A6A3-F2B440077EAE}">
  <dimension ref="A1:E32"/>
  <sheetViews>
    <sheetView workbookViewId="0">
      <selection activeCell="G16" sqref="G16"/>
    </sheetView>
  </sheetViews>
  <sheetFormatPr defaultColWidth="16.21875" defaultRowHeight="14.4" x14ac:dyDescent="0.3"/>
  <cols>
    <col min="1" max="1" width="16.21875" style="2"/>
    <col min="2" max="2" width="26.88671875" style="2" customWidth="1"/>
    <col min="3" max="5" width="16.21875" style="8"/>
    <col min="6" max="16384" width="16.21875" style="2"/>
  </cols>
  <sheetData>
    <row r="1" spans="1:5" s="1" customFormat="1" ht="23.4" customHeight="1" x14ac:dyDescent="0.35">
      <c r="A1" s="3" t="s">
        <v>0</v>
      </c>
      <c r="B1" s="3" t="s">
        <v>1</v>
      </c>
      <c r="C1" s="6" t="s">
        <v>4</v>
      </c>
      <c r="D1" s="6" t="s">
        <v>2</v>
      </c>
      <c r="E1" s="6" t="s">
        <v>3</v>
      </c>
    </row>
    <row r="2" spans="1:5" x14ac:dyDescent="0.3">
      <c r="A2" s="5">
        <v>45992</v>
      </c>
      <c r="B2" s="4" t="s">
        <v>5</v>
      </c>
      <c r="C2" s="7"/>
      <c r="D2" s="7"/>
      <c r="E2" s="7">
        <v>10000</v>
      </c>
    </row>
    <row r="3" spans="1:5" x14ac:dyDescent="0.3">
      <c r="A3" s="5">
        <f>A2+6</f>
        <v>45998</v>
      </c>
      <c r="B3" s="4" t="s">
        <v>6</v>
      </c>
      <c r="C3" s="7">
        <v>30000</v>
      </c>
      <c r="D3" s="7"/>
      <c r="E3" s="7">
        <f>E2+C3-D3</f>
        <v>40000</v>
      </c>
    </row>
    <row r="4" spans="1:5" x14ac:dyDescent="0.3">
      <c r="A4" s="5">
        <f>A3+6</f>
        <v>46004</v>
      </c>
      <c r="B4" s="4" t="s">
        <v>7</v>
      </c>
      <c r="C4" s="7"/>
      <c r="D4" s="7">
        <v>3000</v>
      </c>
      <c r="E4" s="7">
        <f>IF(OR(ISNUMBER(D4),ISNUMBER(#REF!)), E3+C4-D4, "")</f>
        <v>37000</v>
      </c>
    </row>
    <row r="5" spans="1:5" x14ac:dyDescent="0.3">
      <c r="A5" s="5">
        <f t="shared" ref="A5:A16" si="0">A4+6</f>
        <v>46010</v>
      </c>
      <c r="B5" s="4" t="s">
        <v>8</v>
      </c>
      <c r="C5" s="7"/>
      <c r="D5" s="7">
        <v>1000</v>
      </c>
      <c r="E5" s="7">
        <f>IF(OR(ISNUMBER(D5),ISNUMBER(#REF!)), E4+C5-D5, "")</f>
        <v>36000</v>
      </c>
    </row>
    <row r="6" spans="1:5" x14ac:dyDescent="0.3">
      <c r="A6" s="5">
        <f t="shared" si="0"/>
        <v>46016</v>
      </c>
      <c r="B6" s="4" t="s">
        <v>9</v>
      </c>
      <c r="C6" s="7"/>
      <c r="D6" s="7">
        <v>10000</v>
      </c>
      <c r="E6" s="7">
        <f>IF(OR(ISNUMBER(D6),ISNUMBER(#REF!)), E5+C6-D6, "")</f>
        <v>26000</v>
      </c>
    </row>
    <row r="7" spans="1:5" x14ac:dyDescent="0.3">
      <c r="A7" s="5">
        <f t="shared" si="0"/>
        <v>46022</v>
      </c>
      <c r="B7" s="4" t="s">
        <v>10</v>
      </c>
      <c r="C7" s="7">
        <v>1000</v>
      </c>
      <c r="D7" s="7">
        <v>4000</v>
      </c>
      <c r="E7" s="7">
        <f>IF(OR(ISNUMBER(D7),ISNUMBER(#REF!)), E6+C7-D7, "")</f>
        <v>23000</v>
      </c>
    </row>
    <row r="8" spans="1:5" x14ac:dyDescent="0.3">
      <c r="A8" s="5">
        <f t="shared" si="0"/>
        <v>46028</v>
      </c>
      <c r="B8" s="4" t="s">
        <v>11</v>
      </c>
      <c r="C8" s="7">
        <v>30000</v>
      </c>
      <c r="D8" s="7">
        <v>2000</v>
      </c>
      <c r="E8" s="7">
        <f>IF(OR(ISNUMBER(D8),ISNUMBER(#REF!)), E7+C8-D8, "")</f>
        <v>51000</v>
      </c>
    </row>
    <row r="9" spans="1:5" x14ac:dyDescent="0.3">
      <c r="A9" s="5">
        <f t="shared" si="0"/>
        <v>46034</v>
      </c>
      <c r="B9" s="4" t="s">
        <v>12</v>
      </c>
      <c r="C9" s="7"/>
      <c r="D9" s="7">
        <v>5000</v>
      </c>
      <c r="E9" s="7">
        <f>IF(OR(ISNUMBER(D9),ISNUMBER(#REF!)), E8+C9-D9, "")</f>
        <v>46000</v>
      </c>
    </row>
    <row r="10" spans="1:5" x14ac:dyDescent="0.3">
      <c r="A10" s="5">
        <f t="shared" si="0"/>
        <v>46040</v>
      </c>
      <c r="B10" s="4" t="s">
        <v>8</v>
      </c>
      <c r="C10" s="7"/>
      <c r="D10" s="7">
        <v>1000</v>
      </c>
      <c r="E10" s="7">
        <f>IF(OR(ISNUMBER(D10),ISNUMBER(#REF!)), E9+C10-D10, "")</f>
        <v>45000</v>
      </c>
    </row>
    <row r="11" spans="1:5" x14ac:dyDescent="0.3">
      <c r="A11" s="5">
        <f t="shared" si="0"/>
        <v>46046</v>
      </c>
      <c r="B11" s="4" t="s">
        <v>13</v>
      </c>
      <c r="C11" s="7"/>
      <c r="D11" s="7">
        <v>15000</v>
      </c>
      <c r="E11" s="7">
        <f>IF(OR(ISNUMBER(D11),ISNUMBER(#REF!)), E10+C11-D11, "")</f>
        <v>30000</v>
      </c>
    </row>
    <row r="12" spans="1:5" x14ac:dyDescent="0.3">
      <c r="A12" s="5">
        <f t="shared" si="0"/>
        <v>46052</v>
      </c>
      <c r="B12" s="4" t="s">
        <v>10</v>
      </c>
      <c r="C12" s="7">
        <v>1000</v>
      </c>
      <c r="D12" s="7">
        <v>4000</v>
      </c>
      <c r="E12" s="7">
        <f>IF(OR(ISNUMBER(D12),ISNUMBER(#REF!)), E11+C12-D12, "")</f>
        <v>27000</v>
      </c>
    </row>
    <row r="13" spans="1:5" x14ac:dyDescent="0.3">
      <c r="A13" s="5">
        <f t="shared" si="0"/>
        <v>46058</v>
      </c>
      <c r="B13" s="4" t="s">
        <v>14</v>
      </c>
      <c r="C13" s="7">
        <v>30000</v>
      </c>
      <c r="D13" s="7">
        <v>2000</v>
      </c>
      <c r="E13" s="7">
        <f>IF(OR(ISNUMBER(D13),ISNUMBER(#REF!)), E12+C13-D13, "")</f>
        <v>55000</v>
      </c>
    </row>
    <row r="14" spans="1:5" x14ac:dyDescent="0.3">
      <c r="A14" s="5">
        <f t="shared" si="0"/>
        <v>46064</v>
      </c>
      <c r="B14" s="4" t="s">
        <v>15</v>
      </c>
      <c r="C14" s="7"/>
      <c r="D14" s="7">
        <v>2500</v>
      </c>
      <c r="E14" s="7">
        <f>IF(OR(ISNUMBER(D14),ISNUMBER(#REF!)), E13+C14-D14, "")</f>
        <v>52500</v>
      </c>
    </row>
    <row r="15" spans="1:5" x14ac:dyDescent="0.3">
      <c r="A15" s="5">
        <f t="shared" si="0"/>
        <v>46070</v>
      </c>
      <c r="B15" s="4" t="s">
        <v>8</v>
      </c>
      <c r="C15" s="7"/>
      <c r="D15" s="7">
        <v>1000</v>
      </c>
      <c r="E15" s="7">
        <f>IF(OR(ISNUMBER(D15),ISNUMBER(#REF!)), E14+C15-D15, "")</f>
        <v>51500</v>
      </c>
    </row>
    <row r="16" spans="1:5" x14ac:dyDescent="0.3">
      <c r="A16" s="5">
        <f t="shared" si="0"/>
        <v>46076</v>
      </c>
      <c r="B16" s="4" t="s">
        <v>16</v>
      </c>
      <c r="C16" s="7"/>
      <c r="D16" s="7">
        <v>20000</v>
      </c>
      <c r="E16" s="7">
        <f>IF(OR(ISNUMBER(D16),ISNUMBER(#REF!)), E15+C16-D16, "")</f>
        <v>31500</v>
      </c>
    </row>
    <row r="17" spans="1:5" x14ac:dyDescent="0.3">
      <c r="A17" s="5"/>
      <c r="B17" s="4"/>
      <c r="C17" s="7"/>
      <c r="D17" s="7"/>
      <c r="E17" s="7" t="str">
        <f>IF(OR(ISNUMBER(D17),ISNUMBER(#REF!)), E16+C17-D17, "")</f>
        <v/>
      </c>
    </row>
    <row r="18" spans="1:5" x14ac:dyDescent="0.3">
      <c r="A18" s="5"/>
      <c r="B18" s="4"/>
      <c r="C18" s="7"/>
      <c r="D18" s="7"/>
      <c r="E18" s="7"/>
    </row>
    <row r="19" spans="1:5" x14ac:dyDescent="0.3">
      <c r="A19" s="5"/>
      <c r="B19" s="4"/>
      <c r="C19" s="7"/>
      <c r="D19" s="7"/>
      <c r="E19" s="7"/>
    </row>
    <row r="20" spans="1:5" x14ac:dyDescent="0.3">
      <c r="A20" s="4"/>
      <c r="B20" s="4"/>
      <c r="C20" s="7"/>
      <c r="D20" s="7"/>
      <c r="E20" s="7"/>
    </row>
    <row r="21" spans="1:5" x14ac:dyDescent="0.3">
      <c r="A21" s="4"/>
      <c r="B21" s="4"/>
      <c r="C21" s="7"/>
      <c r="D21" s="7"/>
      <c r="E21" s="7"/>
    </row>
    <row r="22" spans="1:5" x14ac:dyDescent="0.3">
      <c r="A22" s="4"/>
      <c r="B22" s="4"/>
      <c r="C22" s="7"/>
      <c r="D22" s="7"/>
      <c r="E22" s="7"/>
    </row>
    <row r="23" spans="1:5" x14ac:dyDescent="0.3">
      <c r="A23" s="4"/>
      <c r="B23" s="4"/>
      <c r="C23" s="7"/>
      <c r="D23" s="7"/>
      <c r="E23" s="7"/>
    </row>
    <row r="24" spans="1:5" x14ac:dyDescent="0.3">
      <c r="A24" s="4"/>
      <c r="B24" s="4"/>
      <c r="C24" s="7"/>
      <c r="D24" s="7"/>
      <c r="E24" s="7"/>
    </row>
    <row r="25" spans="1:5" x14ac:dyDescent="0.3">
      <c r="A25" s="4"/>
      <c r="B25" s="4"/>
      <c r="C25" s="7"/>
      <c r="D25" s="7"/>
      <c r="E25" s="7"/>
    </row>
    <row r="26" spans="1:5" x14ac:dyDescent="0.3">
      <c r="A26" s="4"/>
      <c r="B26" s="4"/>
      <c r="C26" s="7"/>
      <c r="D26" s="7"/>
      <c r="E26" s="7"/>
    </row>
    <row r="27" spans="1:5" x14ac:dyDescent="0.3">
      <c r="A27" s="4"/>
      <c r="B27" s="4"/>
      <c r="C27" s="7"/>
      <c r="D27" s="7"/>
      <c r="E27" s="7"/>
    </row>
    <row r="28" spans="1:5" x14ac:dyDescent="0.3">
      <c r="A28" s="4"/>
      <c r="B28" s="4"/>
      <c r="C28" s="7"/>
      <c r="D28" s="7"/>
      <c r="E28" s="7"/>
    </row>
    <row r="29" spans="1:5" x14ac:dyDescent="0.3">
      <c r="A29" s="4"/>
      <c r="B29" s="4"/>
      <c r="C29" s="7"/>
      <c r="D29" s="7"/>
      <c r="E29" s="7"/>
    </row>
    <row r="30" spans="1:5" x14ac:dyDescent="0.3">
      <c r="A30" s="4"/>
      <c r="B30" s="4"/>
      <c r="C30" s="7"/>
      <c r="D30" s="7"/>
      <c r="E30" s="7"/>
    </row>
    <row r="31" spans="1:5" x14ac:dyDescent="0.3">
      <c r="A31" s="4"/>
      <c r="B31" s="4"/>
      <c r="C31" s="7"/>
      <c r="D31" s="7"/>
      <c r="E31" s="7"/>
    </row>
    <row r="32" spans="1:5" x14ac:dyDescent="0.3">
      <c r="A32" s="4"/>
      <c r="B32" s="4"/>
      <c r="C32" s="7"/>
      <c r="D32" s="7"/>
      <c r="E32"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A7574-6EDC-40EC-B173-6E5AE11C9C89}">
  <dimension ref="A1:AA37"/>
  <sheetViews>
    <sheetView showGridLines="0" workbookViewId="0">
      <selection activeCell="W16" sqref="W16"/>
    </sheetView>
  </sheetViews>
  <sheetFormatPr defaultRowHeight="14.4" x14ac:dyDescent="0.3"/>
  <sheetData>
    <row r="1" spans="1:27" ht="28.2" x14ac:dyDescent="0.55000000000000004">
      <c r="A1" s="25"/>
      <c r="B1" s="25"/>
      <c r="C1" s="25"/>
      <c r="D1" s="25"/>
      <c r="E1" s="25"/>
      <c r="F1" s="25"/>
      <c r="G1" s="26" t="s">
        <v>62</v>
      </c>
      <c r="H1" s="25"/>
      <c r="I1" s="25"/>
      <c r="J1" s="25"/>
      <c r="K1" s="25"/>
      <c r="L1" s="25"/>
      <c r="M1" s="25"/>
      <c r="N1" s="25"/>
      <c r="O1" s="25"/>
      <c r="P1" s="25"/>
      <c r="Q1" s="25"/>
      <c r="R1" s="25"/>
      <c r="S1" s="25"/>
      <c r="T1" s="25"/>
      <c r="U1" s="25"/>
      <c r="V1" s="25"/>
      <c r="W1" s="25"/>
      <c r="X1" s="25"/>
      <c r="Y1" s="25"/>
      <c r="Z1" s="25"/>
      <c r="AA1" s="25"/>
    </row>
    <row r="2" spans="1:27" x14ac:dyDescent="0.3">
      <c r="A2" s="25"/>
      <c r="B2" s="25"/>
      <c r="C2" s="25"/>
      <c r="D2" s="25"/>
      <c r="E2" s="25"/>
      <c r="F2" s="25"/>
      <c r="G2" s="25"/>
      <c r="H2" s="25"/>
      <c r="I2" s="25"/>
      <c r="J2" s="25"/>
      <c r="K2" s="25"/>
      <c r="L2" s="25"/>
      <c r="M2" s="25"/>
      <c r="N2" s="25"/>
      <c r="O2" s="25"/>
      <c r="P2" s="25"/>
      <c r="Q2" s="25"/>
      <c r="R2" s="25"/>
      <c r="S2" s="25"/>
      <c r="T2" s="25"/>
      <c r="U2" s="25"/>
      <c r="V2" s="25"/>
      <c r="W2" s="25"/>
      <c r="X2" s="25"/>
      <c r="Y2" s="25"/>
      <c r="Z2" s="25"/>
      <c r="AA2" s="25"/>
    </row>
    <row r="3" spans="1:27" x14ac:dyDescent="0.3">
      <c r="A3" s="25"/>
      <c r="B3" s="25"/>
      <c r="C3" s="25"/>
      <c r="D3" s="25"/>
      <c r="E3" s="25"/>
      <c r="F3" s="25"/>
      <c r="G3" s="25"/>
      <c r="H3" s="25"/>
      <c r="I3" s="25"/>
      <c r="J3" s="25"/>
      <c r="K3" s="25"/>
      <c r="L3" s="25"/>
      <c r="M3" s="25"/>
      <c r="N3" s="25"/>
      <c r="O3" s="25"/>
      <c r="P3" s="25"/>
      <c r="Q3" s="25"/>
      <c r="R3" s="25"/>
      <c r="S3" s="25"/>
      <c r="T3" s="25"/>
      <c r="U3" s="25"/>
      <c r="V3" s="25"/>
      <c r="W3" s="25"/>
      <c r="X3" s="25"/>
      <c r="Y3" s="25"/>
      <c r="Z3" s="25"/>
      <c r="AA3" s="25"/>
    </row>
    <row r="4" spans="1:27" x14ac:dyDescent="0.3">
      <c r="A4" s="25"/>
      <c r="B4" s="25"/>
      <c r="C4" s="25"/>
      <c r="D4" s="25"/>
      <c r="E4" s="25"/>
      <c r="F4" s="25"/>
      <c r="G4" s="25"/>
      <c r="H4" s="25"/>
      <c r="I4" s="25"/>
      <c r="J4" s="25"/>
      <c r="K4" s="25"/>
      <c r="L4" s="25"/>
      <c r="M4" s="25"/>
      <c r="N4" s="25"/>
      <c r="O4" s="25"/>
      <c r="P4" s="25"/>
      <c r="Q4" s="25"/>
      <c r="R4" s="25"/>
      <c r="S4" s="25"/>
      <c r="T4" s="25"/>
      <c r="U4" s="25"/>
      <c r="V4" s="25"/>
      <c r="W4" s="25"/>
      <c r="X4" s="25"/>
      <c r="Y4" s="25"/>
      <c r="Z4" s="25"/>
      <c r="AA4" s="25"/>
    </row>
    <row r="5" spans="1:27" x14ac:dyDescent="0.3">
      <c r="A5" s="25"/>
      <c r="B5" s="25"/>
      <c r="C5" s="25"/>
      <c r="D5" s="25"/>
      <c r="E5" s="25"/>
      <c r="F5" s="25"/>
      <c r="G5" s="25"/>
      <c r="H5" s="25"/>
      <c r="I5" s="25"/>
      <c r="J5" s="25"/>
      <c r="K5" s="25"/>
      <c r="L5" s="25"/>
      <c r="M5" s="25"/>
      <c r="N5" s="25"/>
      <c r="O5" s="25"/>
      <c r="P5" s="25"/>
      <c r="Q5" s="25"/>
      <c r="R5" s="25"/>
      <c r="S5" s="25"/>
      <c r="T5" s="25"/>
      <c r="U5" s="25"/>
      <c r="V5" s="25"/>
      <c r="W5" s="25"/>
      <c r="X5" s="25"/>
      <c r="Y5" s="25"/>
      <c r="Z5" s="25"/>
      <c r="AA5" s="25"/>
    </row>
    <row r="6" spans="1:27" x14ac:dyDescent="0.3">
      <c r="A6" s="25"/>
      <c r="B6" s="25"/>
      <c r="C6" s="25"/>
      <c r="D6" s="25"/>
      <c r="E6" s="25"/>
      <c r="F6" s="25"/>
      <c r="G6" s="25"/>
      <c r="H6" s="25"/>
      <c r="I6" s="25"/>
      <c r="J6" s="25"/>
      <c r="K6" s="25"/>
      <c r="L6" s="25"/>
      <c r="M6" s="25"/>
      <c r="N6" s="25"/>
      <c r="O6" s="25"/>
      <c r="P6" s="25"/>
      <c r="Q6" s="25"/>
      <c r="R6" s="25"/>
      <c r="S6" s="25"/>
      <c r="T6" s="25"/>
      <c r="U6" s="25"/>
      <c r="V6" s="25"/>
      <c r="W6" s="25"/>
      <c r="X6" s="25"/>
      <c r="Y6" s="25"/>
      <c r="Z6" s="25"/>
      <c r="AA6" s="25"/>
    </row>
    <row r="7" spans="1:27" x14ac:dyDescent="0.3">
      <c r="A7" s="25"/>
      <c r="B7" s="25"/>
      <c r="C7" s="25"/>
      <c r="D7" s="25"/>
      <c r="E7" s="25"/>
      <c r="F7" s="25"/>
      <c r="G7" s="25"/>
      <c r="H7" s="25"/>
      <c r="I7" s="25"/>
      <c r="J7" s="25"/>
      <c r="K7" s="25"/>
      <c r="L7" s="25"/>
      <c r="M7" s="25"/>
      <c r="N7" s="25"/>
      <c r="O7" s="25"/>
      <c r="P7" s="25"/>
      <c r="Q7" s="25"/>
      <c r="R7" s="25"/>
      <c r="S7" s="25"/>
      <c r="T7" s="25"/>
      <c r="U7" s="25"/>
      <c r="V7" s="25"/>
      <c r="W7" s="25"/>
      <c r="X7" s="25"/>
      <c r="Y7" s="25"/>
      <c r="Z7" s="25"/>
      <c r="AA7" s="25"/>
    </row>
    <row r="8" spans="1:27" x14ac:dyDescent="0.3">
      <c r="A8" s="25"/>
      <c r="B8" s="25"/>
      <c r="C8" s="25"/>
      <c r="D8" s="25"/>
      <c r="E8" s="25"/>
      <c r="F8" s="25"/>
      <c r="G8" s="25"/>
      <c r="H8" s="25"/>
      <c r="I8" s="25"/>
      <c r="J8" s="25"/>
      <c r="K8" s="25"/>
      <c r="L8" s="25"/>
      <c r="M8" s="25"/>
      <c r="N8" s="25"/>
      <c r="O8" s="25"/>
      <c r="P8" s="25"/>
      <c r="Q8" s="25"/>
      <c r="R8" s="25"/>
      <c r="S8" s="25"/>
      <c r="T8" s="25"/>
      <c r="U8" s="25"/>
      <c r="V8" s="25"/>
      <c r="W8" s="25"/>
      <c r="X8" s="25"/>
      <c r="Y8" s="25"/>
      <c r="Z8" s="25"/>
      <c r="AA8" s="25"/>
    </row>
    <row r="9" spans="1:27" x14ac:dyDescent="0.3">
      <c r="A9" s="25"/>
      <c r="B9" s="25"/>
      <c r="C9" s="25"/>
      <c r="D9" s="25"/>
      <c r="E9" s="25"/>
      <c r="F9" s="25"/>
      <c r="G9" s="25"/>
      <c r="H9" s="25"/>
      <c r="I9" s="25"/>
      <c r="J9" s="25"/>
      <c r="K9" s="25"/>
      <c r="L9" s="25"/>
      <c r="M9" s="25"/>
      <c r="N9" s="25"/>
      <c r="O9" s="25"/>
      <c r="P9" s="25"/>
      <c r="Q9" s="25"/>
      <c r="R9" s="25"/>
      <c r="S9" s="25"/>
      <c r="T9" s="25"/>
      <c r="U9" s="25"/>
      <c r="V9" s="25"/>
      <c r="W9" s="25"/>
      <c r="X9" s="25"/>
      <c r="Y9" s="25"/>
      <c r="Z9" s="25"/>
      <c r="AA9" s="25"/>
    </row>
    <row r="10" spans="1:27"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row>
    <row r="11" spans="1:27"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row>
    <row r="12" spans="1:27"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row>
    <row r="13" spans="1:27"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row>
    <row r="14" spans="1:27"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row>
    <row r="15" spans="1:27"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row>
    <row r="16" spans="1:27"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row>
    <row r="17" spans="1:27"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row>
    <row r="18" spans="1:27"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row>
    <row r="19" spans="1:27"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row>
    <row r="20" spans="1:27" x14ac:dyDescent="0.3">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row>
    <row r="21" spans="1:27" x14ac:dyDescent="0.3">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row>
    <row r="22" spans="1:27" x14ac:dyDescent="0.3">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row>
    <row r="23" spans="1:27" x14ac:dyDescent="0.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row>
    <row r="24" spans="1:27" x14ac:dyDescent="0.3">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row>
    <row r="25" spans="1:27" x14ac:dyDescent="0.3">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row>
    <row r="26" spans="1:27" x14ac:dyDescent="0.3">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row>
    <row r="27" spans="1:27" x14ac:dyDescent="0.3">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row>
    <row r="28" spans="1:27" x14ac:dyDescent="0.3">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row>
    <row r="29" spans="1:27" x14ac:dyDescent="0.3">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row>
    <row r="30" spans="1:27" x14ac:dyDescent="0.3">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row>
    <row r="31" spans="1:27" x14ac:dyDescent="0.3">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row>
    <row r="32" spans="1:27" x14ac:dyDescent="0.3">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row>
    <row r="33" spans="1:27" x14ac:dyDescent="0.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row>
    <row r="34" spans="1:27" x14ac:dyDescent="0.3">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row>
    <row r="35" spans="1:27" x14ac:dyDescent="0.3">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row>
    <row r="36" spans="1:27" x14ac:dyDescent="0.3">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row>
    <row r="37" spans="1:27"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FDD0E-BB80-46B1-9494-0614D5BA0746}">
  <dimension ref="A1:H29"/>
  <sheetViews>
    <sheetView workbookViewId="0">
      <selection activeCell="F17" sqref="F17"/>
    </sheetView>
  </sheetViews>
  <sheetFormatPr defaultColWidth="15.44140625" defaultRowHeight="14.4" x14ac:dyDescent="0.3"/>
  <cols>
    <col min="1" max="1" width="15.44140625" style="2"/>
    <col min="2" max="4" width="15.44140625" style="14"/>
    <col min="5" max="5" width="15.44140625" style="2"/>
    <col min="6" max="6" width="19" style="2" customWidth="1"/>
    <col min="7" max="16384" width="15.44140625" style="2"/>
  </cols>
  <sheetData>
    <row r="1" spans="1:8" s="10" customFormat="1" ht="17.399999999999999" x14ac:dyDescent="0.3">
      <c r="A1" s="9" t="s">
        <v>17</v>
      </c>
      <c r="B1" s="13" t="s">
        <v>4</v>
      </c>
      <c r="C1" s="13" t="s">
        <v>18</v>
      </c>
      <c r="D1" s="13" t="s">
        <v>3</v>
      </c>
    </row>
    <row r="2" spans="1:8" x14ac:dyDescent="0.3">
      <c r="A2" s="11">
        <v>45292</v>
      </c>
      <c r="B2" s="14">
        <v>28000</v>
      </c>
      <c r="C2" s="14">
        <v>15000</v>
      </c>
      <c r="D2" s="14">
        <f t="shared" ref="D2:D27" si="0">IF(OR(ISBLANK(B2),ISBLANK(C2)),AVERAGE(B2:B27)-AVERAGE(C2:C27),B2-C2)</f>
        <v>13000</v>
      </c>
      <c r="G2" s="16" t="s">
        <v>3</v>
      </c>
      <c r="H2" s="16" t="s">
        <v>18</v>
      </c>
    </row>
    <row r="3" spans="1:8" x14ac:dyDescent="0.3">
      <c r="A3" s="11">
        <v>45323</v>
      </c>
      <c r="B3" s="14">
        <v>28000</v>
      </c>
      <c r="C3" s="14">
        <v>14550</v>
      </c>
      <c r="D3" s="14">
        <f t="shared" si="0"/>
        <v>13450</v>
      </c>
    </row>
    <row r="4" spans="1:8" x14ac:dyDescent="0.3">
      <c r="A4" s="11">
        <v>45352</v>
      </c>
      <c r="B4" s="14">
        <v>28000</v>
      </c>
      <c r="C4" s="14">
        <v>16050</v>
      </c>
      <c r="D4" s="14">
        <f t="shared" si="0"/>
        <v>11950</v>
      </c>
      <c r="F4" s="16" t="s">
        <v>23</v>
      </c>
      <c r="G4" s="14">
        <f>AVERAGE(D2:D27)</f>
        <v>13518.953846153845</v>
      </c>
      <c r="H4" s="14">
        <f>AVERAGE(Finance_Tracker[Expense])</f>
        <v>16627.2</v>
      </c>
    </row>
    <row r="5" spans="1:8" x14ac:dyDescent="0.3">
      <c r="A5" s="11">
        <v>45383</v>
      </c>
      <c r="B5" s="14">
        <v>28000</v>
      </c>
      <c r="C5" s="14">
        <v>12000</v>
      </c>
      <c r="D5" s="14">
        <f t="shared" si="0"/>
        <v>16000</v>
      </c>
      <c r="F5" s="16" t="s">
        <v>27</v>
      </c>
      <c r="G5" s="14">
        <f>MEDIAN(Finance_Tracker[Savings])</f>
        <v>13636.4</v>
      </c>
      <c r="H5" s="14">
        <f>MEDIAN(Finance_Tracker[Expense])</f>
        <v>15674.5</v>
      </c>
    </row>
    <row r="6" spans="1:8" x14ac:dyDescent="0.3">
      <c r="A6" s="11">
        <v>45413</v>
      </c>
      <c r="B6" s="14">
        <v>28000</v>
      </c>
      <c r="C6" s="14">
        <v>15620</v>
      </c>
      <c r="D6" s="14">
        <f t="shared" si="0"/>
        <v>12380</v>
      </c>
      <c r="F6" s="16" t="s">
        <v>24</v>
      </c>
      <c r="G6" s="14">
        <f>STDEVA(Finance_Tracker[Savings])</f>
        <v>5154.5359728480544</v>
      </c>
      <c r="H6" s="14">
        <f>STDEVA(Finance_Tracker[Savings])</f>
        <v>5154.5359728480544</v>
      </c>
    </row>
    <row r="7" spans="1:8" x14ac:dyDescent="0.3">
      <c r="A7" s="11">
        <v>45444</v>
      </c>
      <c r="B7" s="14">
        <v>28000</v>
      </c>
      <c r="C7" s="14">
        <v>19800</v>
      </c>
      <c r="D7" s="14">
        <f t="shared" si="0"/>
        <v>8200</v>
      </c>
      <c r="F7" s="16" t="s">
        <v>25</v>
      </c>
      <c r="G7" s="14">
        <f>MIN(Finance_Tracker[Savings])</f>
        <v>3450</v>
      </c>
      <c r="H7" s="14">
        <f>MIN(Finance_Tracker[Expense])</f>
        <v>5600</v>
      </c>
    </row>
    <row r="8" spans="1:8" x14ac:dyDescent="0.3">
      <c r="A8" s="11">
        <v>45474</v>
      </c>
      <c r="B8" s="14">
        <v>28000</v>
      </c>
      <c r="C8" s="14">
        <v>12231</v>
      </c>
      <c r="D8" s="14">
        <f t="shared" si="0"/>
        <v>15769</v>
      </c>
      <c r="F8" s="16" t="s">
        <v>26</v>
      </c>
      <c r="G8" s="14">
        <f>MAX(Finance_Tracker[Savings])</f>
        <v>24600</v>
      </c>
      <c r="H8" s="14">
        <f>MAX(Finance_Tracker[Expense])</f>
        <v>27690</v>
      </c>
    </row>
    <row r="9" spans="1:8" x14ac:dyDescent="0.3">
      <c r="A9" s="11">
        <v>45505</v>
      </c>
      <c r="B9" s="14">
        <v>30200</v>
      </c>
      <c r="C9" s="14">
        <v>18650</v>
      </c>
      <c r="D9" s="14">
        <f t="shared" si="0"/>
        <v>11550</v>
      </c>
    </row>
    <row r="10" spans="1:8" x14ac:dyDescent="0.3">
      <c r="A10" s="11">
        <v>45536</v>
      </c>
      <c r="B10" s="14">
        <v>30200</v>
      </c>
      <c r="C10" s="12">
        <f>AVERAGE(C2:C9,C11:C27)</f>
        <v>16627.2</v>
      </c>
      <c r="D10" s="14">
        <f t="shared" si="0"/>
        <v>13572.8</v>
      </c>
    </row>
    <row r="11" spans="1:8" x14ac:dyDescent="0.3">
      <c r="A11" s="11">
        <v>45566</v>
      </c>
      <c r="B11" s="14">
        <v>30200</v>
      </c>
      <c r="C11" s="14">
        <v>25620</v>
      </c>
      <c r="D11" s="14">
        <f t="shared" si="0"/>
        <v>4580</v>
      </c>
    </row>
    <row r="12" spans="1:8" x14ac:dyDescent="0.3">
      <c r="A12" s="11">
        <v>45597</v>
      </c>
      <c r="B12" s="14">
        <v>30200</v>
      </c>
      <c r="C12" s="14">
        <v>15500</v>
      </c>
      <c r="D12" s="14">
        <f t="shared" si="0"/>
        <v>14700</v>
      </c>
    </row>
    <row r="13" spans="1:8" x14ac:dyDescent="0.3">
      <c r="A13" s="11">
        <v>45627</v>
      </c>
      <c r="B13" s="14">
        <v>30200</v>
      </c>
      <c r="C13" s="14">
        <v>12000</v>
      </c>
      <c r="D13" s="14">
        <f t="shared" si="0"/>
        <v>18200</v>
      </c>
    </row>
    <row r="14" spans="1:8" x14ac:dyDescent="0.3">
      <c r="A14" s="11">
        <v>45658</v>
      </c>
      <c r="B14" s="14">
        <v>30200</v>
      </c>
      <c r="C14" s="14">
        <v>15680</v>
      </c>
      <c r="D14" s="14">
        <f t="shared" si="0"/>
        <v>14520</v>
      </c>
    </row>
    <row r="15" spans="1:8" x14ac:dyDescent="0.3">
      <c r="A15" s="11">
        <v>45689</v>
      </c>
      <c r="B15" s="14">
        <v>30200</v>
      </c>
      <c r="C15" s="14">
        <v>13560</v>
      </c>
      <c r="D15" s="14">
        <f t="shared" si="0"/>
        <v>16640</v>
      </c>
    </row>
    <row r="16" spans="1:8" x14ac:dyDescent="0.3">
      <c r="A16" s="11">
        <v>45717</v>
      </c>
      <c r="B16" s="14">
        <v>30200</v>
      </c>
      <c r="C16" s="14">
        <v>5600</v>
      </c>
      <c r="D16" s="14">
        <f t="shared" si="0"/>
        <v>24600</v>
      </c>
    </row>
    <row r="17" spans="1:4" x14ac:dyDescent="0.3">
      <c r="A17" s="11">
        <v>45748</v>
      </c>
      <c r="B17" s="14">
        <v>30200</v>
      </c>
      <c r="C17" s="14">
        <v>26750</v>
      </c>
      <c r="D17" s="14">
        <f t="shared" si="0"/>
        <v>3450</v>
      </c>
    </row>
    <row r="18" spans="1:4" x14ac:dyDescent="0.3">
      <c r="A18" s="11">
        <v>45778</v>
      </c>
      <c r="B18" s="14">
        <v>30200</v>
      </c>
      <c r="C18" s="14">
        <v>16850</v>
      </c>
      <c r="D18" s="14">
        <f t="shared" si="0"/>
        <v>13350</v>
      </c>
    </row>
    <row r="19" spans="1:4" x14ac:dyDescent="0.3">
      <c r="A19" s="11">
        <v>45809</v>
      </c>
      <c r="B19" s="14">
        <v>30200</v>
      </c>
      <c r="C19" s="14">
        <v>16500</v>
      </c>
      <c r="D19" s="14">
        <f t="shared" si="0"/>
        <v>13700</v>
      </c>
    </row>
    <row r="20" spans="1:4" x14ac:dyDescent="0.3">
      <c r="A20" s="11">
        <v>45839</v>
      </c>
      <c r="B20" s="14">
        <v>30200</v>
      </c>
      <c r="C20" s="14">
        <v>19870</v>
      </c>
      <c r="D20" s="14">
        <f t="shared" si="0"/>
        <v>10330</v>
      </c>
    </row>
    <row r="21" spans="1:4" x14ac:dyDescent="0.3">
      <c r="A21" s="11">
        <v>45870</v>
      </c>
      <c r="B21" s="14">
        <v>32200</v>
      </c>
      <c r="C21" s="14">
        <v>14751</v>
      </c>
      <c r="D21" s="14">
        <f t="shared" si="0"/>
        <v>17449</v>
      </c>
    </row>
    <row r="22" spans="1:4" x14ac:dyDescent="0.3">
      <c r="A22" s="11">
        <v>45901</v>
      </c>
      <c r="B22" s="14">
        <v>32200</v>
      </c>
      <c r="C22" s="14">
        <v>12481</v>
      </c>
      <c r="D22" s="14">
        <f t="shared" si="0"/>
        <v>19719</v>
      </c>
    </row>
    <row r="23" spans="1:4" x14ac:dyDescent="0.3">
      <c r="A23" s="11">
        <v>45931</v>
      </c>
      <c r="B23" s="14">
        <v>32200</v>
      </c>
      <c r="C23" s="14">
        <v>15669</v>
      </c>
      <c r="D23" s="14">
        <f t="shared" si="0"/>
        <v>16531</v>
      </c>
    </row>
    <row r="24" spans="1:4" x14ac:dyDescent="0.3">
      <c r="A24" s="11">
        <v>45962</v>
      </c>
      <c r="B24" s="14">
        <v>32200</v>
      </c>
      <c r="C24" s="14">
        <v>10080</v>
      </c>
      <c r="D24" s="14">
        <f t="shared" si="0"/>
        <v>22120</v>
      </c>
    </row>
    <row r="25" spans="1:4" x14ac:dyDescent="0.3">
      <c r="A25" s="11">
        <v>45992</v>
      </c>
      <c r="B25" s="14">
        <v>32200</v>
      </c>
      <c r="C25" s="14">
        <v>25678</v>
      </c>
      <c r="D25" s="14">
        <f t="shared" si="0"/>
        <v>6522</v>
      </c>
    </row>
    <row r="26" spans="1:4" x14ac:dyDescent="0.3">
      <c r="A26" s="11">
        <v>46023</v>
      </c>
      <c r="B26" s="14">
        <v>32200</v>
      </c>
      <c r="C26" s="14">
        <v>17500</v>
      </c>
      <c r="D26" s="14">
        <f t="shared" si="0"/>
        <v>14700</v>
      </c>
    </row>
    <row r="27" spans="1:4" x14ac:dyDescent="0.3">
      <c r="A27" s="11">
        <v>46054</v>
      </c>
      <c r="B27" s="14">
        <v>32200</v>
      </c>
      <c r="C27" s="14">
        <v>27690</v>
      </c>
      <c r="D27" s="14">
        <f t="shared" si="0"/>
        <v>4510</v>
      </c>
    </row>
    <row r="28" spans="1:4" x14ac:dyDescent="0.3">
      <c r="A28"/>
      <c r="B28" s="15"/>
      <c r="C28" s="15"/>
      <c r="D28" s="15"/>
    </row>
    <row r="29" spans="1:4" x14ac:dyDescent="0.3">
      <c r="A29"/>
      <c r="B29" s="15"/>
      <c r="C29" s="15"/>
      <c r="D29" s="1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DB948-4AE4-4D49-9400-EA0624E55721}">
  <dimension ref="A2:C51"/>
  <sheetViews>
    <sheetView topLeftCell="A37" workbookViewId="0">
      <selection activeCell="O54" sqref="O54"/>
    </sheetView>
  </sheetViews>
  <sheetFormatPr defaultRowHeight="14.4" x14ac:dyDescent="0.3"/>
  <cols>
    <col min="1" max="1" width="12.44140625" bestFit="1" customWidth="1"/>
    <col min="2" max="2" width="13.33203125" bestFit="1" customWidth="1"/>
    <col min="3" max="3" width="16.21875" bestFit="1" customWidth="1"/>
  </cols>
  <sheetData>
    <row r="2" spans="1:3" x14ac:dyDescent="0.3">
      <c r="A2" s="19" t="s">
        <v>60</v>
      </c>
    </row>
    <row r="4" spans="1:3" x14ac:dyDescent="0.3">
      <c r="A4" s="17" t="s">
        <v>31</v>
      </c>
      <c r="B4" t="s">
        <v>36</v>
      </c>
      <c r="C4" t="s">
        <v>54</v>
      </c>
    </row>
    <row r="5" spans="1:3" x14ac:dyDescent="0.3">
      <c r="A5" s="18" t="s">
        <v>33</v>
      </c>
      <c r="B5" s="15">
        <v>12779.316666666666</v>
      </c>
      <c r="C5" s="15">
        <v>28916.666666666668</v>
      </c>
    </row>
    <row r="6" spans="1:3" x14ac:dyDescent="0.3">
      <c r="A6" s="18" t="s">
        <v>34</v>
      </c>
      <c r="B6" s="15">
        <v>14910.916666666666</v>
      </c>
      <c r="C6" s="15">
        <v>31033.333333333332</v>
      </c>
    </row>
    <row r="7" spans="1:3" x14ac:dyDescent="0.3">
      <c r="A7" s="18" t="s">
        <v>35</v>
      </c>
      <c r="B7" s="15">
        <v>9605</v>
      </c>
      <c r="C7" s="15">
        <v>32200</v>
      </c>
    </row>
    <row r="8" spans="1:3" x14ac:dyDescent="0.3">
      <c r="A8" s="18" t="s">
        <v>32</v>
      </c>
      <c r="B8" s="15">
        <v>13518.953846153845</v>
      </c>
      <c r="C8" s="15">
        <v>30146.153846153848</v>
      </c>
    </row>
    <row r="10" spans="1:3" x14ac:dyDescent="0.3">
      <c r="A10" s="21" t="s">
        <v>56</v>
      </c>
    </row>
    <row r="12" spans="1:3" x14ac:dyDescent="0.3">
      <c r="A12" s="17" t="s">
        <v>31</v>
      </c>
      <c r="B12" t="s">
        <v>55</v>
      </c>
    </row>
    <row r="13" spans="1:3" x14ac:dyDescent="0.3">
      <c r="A13" s="18" t="s">
        <v>41</v>
      </c>
      <c r="B13" s="15">
        <v>48180</v>
      </c>
    </row>
    <row r="14" spans="1:3" x14ac:dyDescent="0.3">
      <c r="A14" s="18" t="s">
        <v>42</v>
      </c>
      <c r="B14" s="15">
        <v>55800</v>
      </c>
    </row>
    <row r="15" spans="1:3" x14ac:dyDescent="0.3">
      <c r="A15" s="18" t="s">
        <v>43</v>
      </c>
      <c r="B15" s="15">
        <v>21650</v>
      </c>
    </row>
    <row r="16" spans="1:3" x14ac:dyDescent="0.3">
      <c r="A16" s="18" t="s">
        <v>44</v>
      </c>
      <c r="B16" s="15">
        <v>38750</v>
      </c>
    </row>
    <row r="17" spans="1:2" x14ac:dyDescent="0.3">
      <c r="A17" s="18" t="s">
        <v>45</v>
      </c>
      <c r="B17" s="15">
        <v>32470</v>
      </c>
    </row>
    <row r="18" spans="1:2" x14ac:dyDescent="0.3">
      <c r="A18" s="18" t="s">
        <v>46</v>
      </c>
      <c r="B18" s="15">
        <v>36300</v>
      </c>
    </row>
    <row r="19" spans="1:2" x14ac:dyDescent="0.3">
      <c r="A19" s="18" t="s">
        <v>47</v>
      </c>
      <c r="B19" s="15">
        <v>32101</v>
      </c>
    </row>
    <row r="20" spans="1:2" x14ac:dyDescent="0.3">
      <c r="A20" s="18" t="s">
        <v>48</v>
      </c>
      <c r="B20" s="15">
        <v>33401</v>
      </c>
    </row>
    <row r="21" spans="1:2" x14ac:dyDescent="0.3">
      <c r="A21" s="18" t="s">
        <v>49</v>
      </c>
      <c r="B21" s="15">
        <v>29108.2</v>
      </c>
    </row>
    <row r="22" spans="1:2" x14ac:dyDescent="0.3">
      <c r="A22" s="18" t="s">
        <v>50</v>
      </c>
      <c r="B22" s="15">
        <v>41289</v>
      </c>
    </row>
    <row r="23" spans="1:2" x14ac:dyDescent="0.3">
      <c r="A23" s="18" t="s">
        <v>51</v>
      </c>
      <c r="B23" s="15">
        <v>25580</v>
      </c>
    </row>
    <row r="24" spans="1:2" x14ac:dyDescent="0.3">
      <c r="A24" s="18" t="s">
        <v>52</v>
      </c>
      <c r="B24" s="15">
        <v>37678</v>
      </c>
    </row>
    <row r="25" spans="1:2" x14ac:dyDescent="0.3">
      <c r="A25" s="18" t="s">
        <v>32</v>
      </c>
      <c r="B25" s="15">
        <v>432307.20000000001</v>
      </c>
    </row>
    <row r="27" spans="1:2" x14ac:dyDescent="0.3">
      <c r="A27" s="21" t="s">
        <v>57</v>
      </c>
    </row>
    <row r="29" spans="1:2" x14ac:dyDescent="0.3">
      <c r="A29" s="17" t="s">
        <v>31</v>
      </c>
      <c r="B29" t="s">
        <v>53</v>
      </c>
    </row>
    <row r="30" spans="1:2" x14ac:dyDescent="0.3">
      <c r="A30" s="20" t="s">
        <v>37</v>
      </c>
      <c r="B30" s="22">
        <v>239000</v>
      </c>
    </row>
    <row r="31" spans="1:2" x14ac:dyDescent="0.3">
      <c r="A31" s="20" t="s">
        <v>38</v>
      </c>
      <c r="B31" s="22">
        <v>174600</v>
      </c>
    </row>
    <row r="32" spans="1:2" x14ac:dyDescent="0.3">
      <c r="A32" s="20" t="s">
        <v>39</v>
      </c>
      <c r="B32" s="22">
        <v>183000</v>
      </c>
    </row>
    <row r="33" spans="1:3" x14ac:dyDescent="0.3">
      <c r="A33" s="20" t="s">
        <v>40</v>
      </c>
      <c r="B33" s="22">
        <v>187200</v>
      </c>
    </row>
    <row r="34" spans="1:3" x14ac:dyDescent="0.3">
      <c r="A34" s="18" t="s">
        <v>32</v>
      </c>
      <c r="B34" s="15">
        <v>783800</v>
      </c>
    </row>
    <row r="36" spans="1:3" x14ac:dyDescent="0.3">
      <c r="A36" s="21" t="s">
        <v>59</v>
      </c>
    </row>
    <row r="38" spans="1:3" x14ac:dyDescent="0.3">
      <c r="A38" s="17" t="s">
        <v>31</v>
      </c>
      <c r="B38" t="s">
        <v>58</v>
      </c>
      <c r="C38" t="s">
        <v>36</v>
      </c>
    </row>
    <row r="39" spans="1:3" x14ac:dyDescent="0.3">
      <c r="A39" s="20" t="s">
        <v>41</v>
      </c>
      <c r="B39" s="23">
        <v>16060</v>
      </c>
      <c r="C39" s="22">
        <v>14073.333333333334</v>
      </c>
    </row>
    <row r="40" spans="1:3" x14ac:dyDescent="0.3">
      <c r="A40" s="20" t="s">
        <v>42</v>
      </c>
      <c r="B40" s="23">
        <v>18600</v>
      </c>
      <c r="C40" s="22">
        <v>11533.333333333334</v>
      </c>
    </row>
    <row r="41" spans="1:3" x14ac:dyDescent="0.3">
      <c r="A41" s="20" t="s">
        <v>43</v>
      </c>
      <c r="B41" s="23">
        <v>10825</v>
      </c>
      <c r="C41" s="22">
        <v>18275</v>
      </c>
    </row>
    <row r="42" spans="1:3" x14ac:dyDescent="0.3">
      <c r="A42" s="20" t="s">
        <v>44</v>
      </c>
      <c r="B42" s="23">
        <v>19375</v>
      </c>
      <c r="C42" s="22">
        <v>9725</v>
      </c>
    </row>
    <row r="43" spans="1:3" x14ac:dyDescent="0.3">
      <c r="A43" s="20" t="s">
        <v>45</v>
      </c>
      <c r="B43" s="23">
        <v>16235</v>
      </c>
      <c r="C43" s="22">
        <v>12865</v>
      </c>
    </row>
    <row r="44" spans="1:3" x14ac:dyDescent="0.3">
      <c r="A44" s="20" t="s">
        <v>46</v>
      </c>
      <c r="B44" s="23">
        <v>18150</v>
      </c>
      <c r="C44" s="22">
        <v>10950</v>
      </c>
    </row>
    <row r="45" spans="1:3" x14ac:dyDescent="0.3">
      <c r="A45" s="20" t="s">
        <v>47</v>
      </c>
      <c r="B45" s="23">
        <v>16050.5</v>
      </c>
      <c r="C45" s="22">
        <v>13049.5</v>
      </c>
    </row>
    <row r="46" spans="1:3" x14ac:dyDescent="0.3">
      <c r="A46" s="20" t="s">
        <v>48</v>
      </c>
      <c r="B46" s="23">
        <v>16700.5</v>
      </c>
      <c r="C46" s="22">
        <v>14499.5</v>
      </c>
    </row>
    <row r="47" spans="1:3" x14ac:dyDescent="0.3">
      <c r="A47" s="20" t="s">
        <v>49</v>
      </c>
      <c r="B47" s="23">
        <v>14554.1</v>
      </c>
      <c r="C47" s="22">
        <v>16645.900000000001</v>
      </c>
    </row>
    <row r="48" spans="1:3" x14ac:dyDescent="0.3">
      <c r="A48" s="20" t="s">
        <v>50</v>
      </c>
      <c r="B48" s="23">
        <v>20644.5</v>
      </c>
      <c r="C48" s="22">
        <v>10555.5</v>
      </c>
    </row>
    <row r="49" spans="1:3" x14ac:dyDescent="0.3">
      <c r="A49" s="20" t="s">
        <v>51</v>
      </c>
      <c r="B49" s="23">
        <v>12790</v>
      </c>
      <c r="C49" s="22">
        <v>18410</v>
      </c>
    </row>
    <row r="50" spans="1:3" x14ac:dyDescent="0.3">
      <c r="A50" s="20" t="s">
        <v>52</v>
      </c>
      <c r="B50" s="23">
        <v>18839</v>
      </c>
      <c r="C50" s="22">
        <v>12361</v>
      </c>
    </row>
    <row r="51" spans="1:3" x14ac:dyDescent="0.3">
      <c r="A51" s="18" t="s">
        <v>32</v>
      </c>
      <c r="B51" s="24">
        <v>16627.2</v>
      </c>
      <c r="C51" s="15">
        <v>13518.953846153845</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45B47-3BA4-4C8E-8219-A98362F1F91A}">
  <dimension ref="A1:X37"/>
  <sheetViews>
    <sheetView showGridLines="0" tabSelected="1" zoomScale="98" zoomScaleNormal="98" workbookViewId="0">
      <selection activeCell="S3" sqref="S3"/>
    </sheetView>
  </sheetViews>
  <sheetFormatPr defaultRowHeight="14.4" x14ac:dyDescent="0.3"/>
  <sheetData>
    <row r="1" spans="1:24" ht="28.2" x14ac:dyDescent="0.55000000000000004">
      <c r="A1" s="25"/>
      <c r="B1" s="25"/>
      <c r="C1" s="25"/>
      <c r="D1" s="25"/>
      <c r="E1" s="25"/>
      <c r="F1" s="25"/>
      <c r="G1" s="26" t="s">
        <v>61</v>
      </c>
      <c r="H1" s="25"/>
      <c r="I1" s="25"/>
      <c r="J1" s="25"/>
      <c r="K1" s="25"/>
      <c r="L1" s="25"/>
      <c r="M1" s="25"/>
      <c r="N1" s="25"/>
      <c r="O1" s="25"/>
      <c r="P1" s="25"/>
      <c r="Q1" s="25"/>
      <c r="R1" s="25"/>
      <c r="S1" s="25"/>
      <c r="T1" s="25"/>
      <c r="U1" s="25"/>
      <c r="V1" s="25"/>
      <c r="W1" s="25"/>
      <c r="X1" s="25"/>
    </row>
    <row r="2" spans="1:24" x14ac:dyDescent="0.3">
      <c r="A2" s="25"/>
      <c r="B2" s="25"/>
      <c r="C2" s="25"/>
      <c r="D2" s="25"/>
      <c r="E2" s="25"/>
      <c r="F2" s="25"/>
      <c r="G2" s="25"/>
      <c r="H2" s="25"/>
      <c r="I2" s="25"/>
      <c r="J2" s="25"/>
      <c r="K2" s="25"/>
      <c r="L2" s="25"/>
      <c r="M2" s="25"/>
      <c r="N2" s="25"/>
      <c r="O2" s="25"/>
      <c r="P2" s="25"/>
      <c r="Q2" s="25"/>
      <c r="R2" s="25"/>
      <c r="S2" s="25"/>
      <c r="T2" s="25"/>
      <c r="U2" s="25"/>
      <c r="V2" s="25"/>
      <c r="W2" s="25"/>
      <c r="X2" s="25"/>
    </row>
    <row r="3" spans="1:24" x14ac:dyDescent="0.3">
      <c r="A3" s="25"/>
      <c r="B3" s="25"/>
      <c r="C3" s="25"/>
      <c r="D3" s="25"/>
      <c r="E3" s="25"/>
      <c r="F3" s="25"/>
      <c r="G3" s="25"/>
      <c r="H3" s="25"/>
      <c r="I3" s="25"/>
      <c r="J3" s="25"/>
      <c r="K3" s="25"/>
      <c r="L3" s="25"/>
      <c r="M3" s="25"/>
      <c r="N3" s="25"/>
      <c r="O3" s="25"/>
      <c r="P3" s="25"/>
      <c r="Q3" s="25"/>
      <c r="R3" s="25"/>
      <c r="S3" s="25"/>
      <c r="T3" s="25"/>
      <c r="U3" s="25"/>
      <c r="V3" s="25"/>
      <c r="W3" s="25"/>
      <c r="X3" s="25"/>
    </row>
    <row r="4" spans="1:24" x14ac:dyDescent="0.3">
      <c r="A4" s="25"/>
      <c r="B4" s="25"/>
      <c r="C4" s="25"/>
      <c r="D4" s="25"/>
      <c r="E4" s="25"/>
      <c r="F4" s="25"/>
      <c r="G4" s="25"/>
      <c r="H4" s="25"/>
      <c r="I4" s="25"/>
      <c r="J4" s="25"/>
      <c r="K4" s="25"/>
      <c r="L4" s="25"/>
      <c r="M4" s="25"/>
      <c r="N4" s="25"/>
      <c r="O4" s="25"/>
      <c r="P4" s="25"/>
      <c r="Q4" s="25"/>
      <c r="R4" s="25"/>
      <c r="S4" s="25"/>
      <c r="T4" s="25"/>
      <c r="U4" s="25"/>
      <c r="V4" s="25"/>
      <c r="W4" s="25"/>
      <c r="X4" s="25"/>
    </row>
    <row r="5" spans="1:24" x14ac:dyDescent="0.3">
      <c r="A5" s="25"/>
      <c r="B5" s="25"/>
      <c r="C5" s="25"/>
      <c r="D5" s="25"/>
      <c r="E5" s="25"/>
      <c r="F5" s="25"/>
      <c r="G5" s="25"/>
      <c r="H5" s="25"/>
      <c r="I5" s="25"/>
      <c r="J5" s="25"/>
      <c r="K5" s="25"/>
      <c r="L5" s="25"/>
      <c r="M5" s="25"/>
      <c r="N5" s="25"/>
      <c r="O5" s="25"/>
      <c r="P5" s="25"/>
      <c r="Q5" s="25"/>
      <c r="R5" s="25"/>
      <c r="S5" s="25"/>
      <c r="T5" s="25"/>
      <c r="U5" s="25"/>
      <c r="V5" s="25"/>
      <c r="W5" s="25"/>
      <c r="X5" s="25"/>
    </row>
    <row r="6" spans="1:24" x14ac:dyDescent="0.3">
      <c r="A6" s="25"/>
      <c r="B6" s="25"/>
      <c r="C6" s="25"/>
      <c r="D6" s="25"/>
      <c r="E6" s="25"/>
      <c r="F6" s="25"/>
      <c r="G6" s="25"/>
      <c r="H6" s="25"/>
      <c r="I6" s="25"/>
      <c r="J6" s="25"/>
      <c r="K6" s="25"/>
      <c r="L6" s="25"/>
      <c r="M6" s="25"/>
      <c r="N6" s="25"/>
      <c r="O6" s="25"/>
      <c r="P6" s="25"/>
      <c r="Q6" s="25"/>
      <c r="R6" s="25"/>
      <c r="S6" s="25"/>
      <c r="T6" s="25"/>
      <c r="U6" s="25"/>
      <c r="V6" s="25"/>
      <c r="W6" s="25"/>
      <c r="X6" s="25"/>
    </row>
    <row r="7" spans="1:24" x14ac:dyDescent="0.3">
      <c r="A7" s="25"/>
      <c r="B7" s="25"/>
      <c r="C7" s="25"/>
      <c r="D7" s="25"/>
      <c r="E7" s="25"/>
      <c r="F7" s="25"/>
      <c r="G7" s="25"/>
      <c r="H7" s="25"/>
      <c r="I7" s="25"/>
      <c r="J7" s="25"/>
      <c r="K7" s="25"/>
      <c r="L7" s="25"/>
      <c r="M7" s="25"/>
      <c r="N7" s="25"/>
      <c r="O7" s="25"/>
      <c r="P7" s="25"/>
      <c r="Q7" s="25"/>
      <c r="R7" s="25"/>
      <c r="S7" s="25"/>
      <c r="T7" s="25"/>
      <c r="U7" s="25"/>
      <c r="V7" s="25"/>
      <c r="W7" s="25"/>
      <c r="X7" s="25"/>
    </row>
    <row r="8" spans="1:24" ht="28.2" x14ac:dyDescent="0.55000000000000004">
      <c r="A8" s="25"/>
      <c r="B8" s="25"/>
      <c r="C8" s="25"/>
      <c r="D8" s="25"/>
      <c r="E8" s="25"/>
      <c r="F8" s="25"/>
      <c r="G8" s="25"/>
      <c r="H8" s="27"/>
      <c r="I8" s="27"/>
      <c r="J8" s="27"/>
      <c r="K8" s="25"/>
      <c r="L8" s="25"/>
      <c r="M8" s="25"/>
      <c r="N8" s="25"/>
      <c r="O8" s="25"/>
      <c r="P8" s="25"/>
      <c r="Q8" s="25"/>
      <c r="R8" s="25"/>
      <c r="S8" s="25"/>
      <c r="T8" s="25"/>
      <c r="U8" s="25"/>
      <c r="V8" s="25"/>
      <c r="W8" s="25"/>
      <c r="X8" s="25"/>
    </row>
    <row r="9" spans="1:24" x14ac:dyDescent="0.3">
      <c r="A9" s="25"/>
      <c r="B9" s="25"/>
      <c r="C9" s="25"/>
      <c r="D9" s="25"/>
      <c r="E9" s="25"/>
      <c r="F9" s="25"/>
      <c r="G9" s="25"/>
      <c r="H9" s="25"/>
      <c r="I9" s="25"/>
      <c r="J9" s="25"/>
      <c r="K9" s="25"/>
      <c r="L9" s="25"/>
      <c r="M9" s="25"/>
      <c r="N9" s="25"/>
      <c r="O9" s="25"/>
      <c r="P9" s="25"/>
      <c r="Q9" s="25"/>
      <c r="R9" s="25"/>
      <c r="S9" s="25"/>
      <c r="T9" s="25"/>
      <c r="U9" s="25"/>
      <c r="V9" s="25"/>
      <c r="W9" s="25"/>
      <c r="X9" s="25"/>
    </row>
    <row r="10" spans="1:24"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row>
    <row r="11" spans="1:24"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row>
    <row r="12" spans="1:24"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row>
    <row r="13" spans="1:24"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row>
    <row r="14" spans="1:24"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row>
    <row r="15" spans="1:24"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row>
    <row r="16" spans="1:24"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row>
    <row r="17" spans="1:24"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row>
    <row r="18" spans="1:24"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row>
    <row r="19" spans="1:24"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row>
    <row r="20" spans="1:24" x14ac:dyDescent="0.3">
      <c r="A20" s="25"/>
      <c r="B20" s="25"/>
      <c r="C20" s="25"/>
      <c r="D20" s="25"/>
      <c r="E20" s="25"/>
      <c r="F20" s="25"/>
      <c r="G20" s="25"/>
      <c r="H20" s="25"/>
      <c r="I20" s="25"/>
      <c r="J20" s="25"/>
      <c r="K20" s="25"/>
      <c r="L20" s="25"/>
      <c r="M20" s="25"/>
      <c r="N20" s="25"/>
      <c r="O20" s="25"/>
      <c r="P20" s="25"/>
      <c r="Q20" s="25"/>
      <c r="R20" s="25"/>
      <c r="S20" s="25"/>
      <c r="T20" s="25"/>
      <c r="U20" s="25"/>
      <c r="V20" s="25"/>
      <c r="W20" s="25"/>
      <c r="X20" s="25"/>
    </row>
    <row r="21" spans="1:24" x14ac:dyDescent="0.3">
      <c r="A21" s="25"/>
      <c r="B21" s="25"/>
      <c r="C21" s="25"/>
      <c r="D21" s="25"/>
      <c r="E21" s="25"/>
      <c r="F21" s="25"/>
      <c r="G21" s="25"/>
      <c r="H21" s="25"/>
      <c r="I21" s="25"/>
      <c r="J21" s="25"/>
      <c r="K21" s="25"/>
      <c r="L21" s="25"/>
      <c r="M21" s="25"/>
      <c r="N21" s="25"/>
      <c r="O21" s="25"/>
      <c r="P21" s="25"/>
      <c r="Q21" s="25"/>
      <c r="R21" s="25"/>
      <c r="S21" s="25"/>
      <c r="T21" s="25"/>
      <c r="U21" s="25"/>
      <c r="V21" s="25"/>
      <c r="W21" s="25"/>
      <c r="X21" s="25"/>
    </row>
    <row r="22" spans="1:24" x14ac:dyDescent="0.3">
      <c r="A22" s="25"/>
      <c r="B22" s="25"/>
      <c r="C22" s="25"/>
      <c r="D22" s="25"/>
      <c r="E22" s="25"/>
      <c r="F22" s="25"/>
      <c r="G22" s="25"/>
      <c r="H22" s="25"/>
      <c r="I22" s="25"/>
      <c r="J22" s="25"/>
      <c r="K22" s="25"/>
      <c r="L22" s="25"/>
      <c r="M22" s="25"/>
      <c r="N22" s="25"/>
      <c r="O22" s="25"/>
      <c r="P22" s="25"/>
      <c r="Q22" s="25"/>
      <c r="R22" s="25"/>
      <c r="S22" s="25"/>
      <c r="T22" s="25"/>
      <c r="U22" s="25"/>
      <c r="V22" s="25"/>
      <c r="W22" s="25"/>
      <c r="X22" s="25"/>
    </row>
    <row r="23" spans="1:24" x14ac:dyDescent="0.3">
      <c r="A23" s="25"/>
      <c r="B23" s="25"/>
      <c r="C23" s="25"/>
      <c r="D23" s="25"/>
      <c r="E23" s="25"/>
      <c r="F23" s="25"/>
      <c r="G23" s="25"/>
      <c r="H23" s="25"/>
      <c r="I23" s="25"/>
      <c r="J23" s="25"/>
      <c r="K23" s="25"/>
      <c r="L23" s="25"/>
      <c r="M23" s="25"/>
      <c r="N23" s="25"/>
      <c r="O23" s="25"/>
      <c r="P23" s="25"/>
      <c r="Q23" s="25"/>
      <c r="R23" s="25"/>
      <c r="S23" s="25"/>
      <c r="T23" s="25"/>
      <c r="U23" s="25"/>
      <c r="V23" s="25"/>
      <c r="W23" s="25"/>
      <c r="X23" s="25"/>
    </row>
    <row r="24" spans="1:24" x14ac:dyDescent="0.3">
      <c r="A24" s="25"/>
      <c r="B24" s="25"/>
      <c r="C24" s="25"/>
      <c r="D24" s="25"/>
      <c r="E24" s="25"/>
      <c r="F24" s="25"/>
      <c r="G24" s="25"/>
      <c r="H24" s="25"/>
      <c r="I24" s="25"/>
      <c r="J24" s="25"/>
      <c r="K24" s="25"/>
      <c r="L24" s="25"/>
      <c r="M24" s="25"/>
      <c r="N24" s="25"/>
      <c r="O24" s="25"/>
      <c r="P24" s="25"/>
      <c r="Q24" s="25"/>
      <c r="R24" s="25"/>
      <c r="S24" s="25"/>
      <c r="T24" s="25"/>
      <c r="U24" s="25"/>
      <c r="V24" s="25"/>
      <c r="W24" s="25"/>
      <c r="X24" s="25"/>
    </row>
    <row r="25" spans="1:24" x14ac:dyDescent="0.3">
      <c r="A25" s="25"/>
      <c r="B25" s="25"/>
      <c r="C25" s="25"/>
      <c r="D25" s="25"/>
      <c r="E25" s="25"/>
      <c r="F25" s="25"/>
      <c r="G25" s="25"/>
      <c r="H25" s="25"/>
      <c r="I25" s="25"/>
      <c r="J25" s="25"/>
      <c r="K25" s="25"/>
      <c r="L25" s="25"/>
      <c r="M25" s="25"/>
      <c r="N25" s="25"/>
      <c r="O25" s="25"/>
      <c r="P25" s="25"/>
      <c r="Q25" s="25"/>
      <c r="R25" s="25"/>
      <c r="S25" s="25"/>
      <c r="T25" s="25"/>
      <c r="U25" s="25"/>
      <c r="V25" s="25"/>
      <c r="W25" s="25"/>
      <c r="X25" s="25"/>
    </row>
    <row r="26" spans="1:24" x14ac:dyDescent="0.3">
      <c r="A26" s="25"/>
      <c r="B26" s="25"/>
      <c r="C26" s="25"/>
      <c r="D26" s="25"/>
      <c r="E26" s="25"/>
      <c r="F26" s="25"/>
      <c r="G26" s="25"/>
      <c r="H26" s="25"/>
      <c r="I26" s="25"/>
      <c r="J26" s="25"/>
      <c r="K26" s="25"/>
      <c r="L26" s="25"/>
      <c r="M26" s="25"/>
      <c r="N26" s="25"/>
      <c r="O26" s="25"/>
      <c r="P26" s="25"/>
      <c r="Q26" s="25"/>
      <c r="R26" s="25"/>
      <c r="S26" s="25"/>
      <c r="T26" s="25"/>
      <c r="U26" s="25"/>
      <c r="V26" s="25"/>
      <c r="W26" s="25"/>
      <c r="X26" s="25"/>
    </row>
    <row r="27" spans="1:24" x14ac:dyDescent="0.3">
      <c r="A27" s="25"/>
      <c r="B27" s="25"/>
      <c r="C27" s="25"/>
      <c r="D27" s="25"/>
      <c r="E27" s="25"/>
      <c r="F27" s="25"/>
      <c r="G27" s="25"/>
      <c r="H27" s="25"/>
      <c r="I27" s="25"/>
      <c r="J27" s="25"/>
      <c r="K27" s="25"/>
      <c r="L27" s="25"/>
      <c r="M27" s="25"/>
      <c r="N27" s="25"/>
      <c r="O27" s="25"/>
      <c r="P27" s="25"/>
      <c r="Q27" s="25"/>
      <c r="R27" s="25"/>
      <c r="S27" s="25"/>
      <c r="T27" s="25"/>
      <c r="U27" s="25"/>
      <c r="V27" s="25"/>
      <c r="W27" s="25"/>
      <c r="X27" s="25"/>
    </row>
    <row r="28" spans="1:24" x14ac:dyDescent="0.3">
      <c r="A28" s="25"/>
      <c r="B28" s="25"/>
      <c r="C28" s="25"/>
      <c r="D28" s="25"/>
      <c r="E28" s="25"/>
      <c r="F28" s="25"/>
      <c r="G28" s="25"/>
      <c r="H28" s="25"/>
      <c r="I28" s="25"/>
      <c r="J28" s="25"/>
      <c r="K28" s="25"/>
      <c r="L28" s="25"/>
      <c r="M28" s="25"/>
      <c r="N28" s="25"/>
      <c r="O28" s="25"/>
      <c r="P28" s="25"/>
      <c r="Q28" s="25"/>
      <c r="R28" s="25"/>
      <c r="S28" s="25"/>
      <c r="T28" s="25"/>
      <c r="U28" s="25"/>
      <c r="V28" s="25"/>
      <c r="W28" s="25"/>
      <c r="X28" s="25"/>
    </row>
    <row r="29" spans="1:24" x14ac:dyDescent="0.3">
      <c r="A29" s="25"/>
      <c r="B29" s="25"/>
      <c r="C29" s="25"/>
      <c r="D29" s="25"/>
      <c r="E29" s="25"/>
      <c r="F29" s="25"/>
      <c r="G29" s="25"/>
      <c r="H29" s="25"/>
      <c r="I29" s="25"/>
      <c r="J29" s="25"/>
      <c r="K29" s="25"/>
      <c r="L29" s="25"/>
      <c r="M29" s="25"/>
      <c r="N29" s="25"/>
      <c r="O29" s="25"/>
      <c r="P29" s="25"/>
      <c r="Q29" s="25"/>
      <c r="R29" s="25"/>
      <c r="S29" s="25"/>
      <c r="T29" s="25"/>
      <c r="U29" s="25"/>
      <c r="V29" s="25"/>
      <c r="W29" s="25"/>
      <c r="X29" s="25"/>
    </row>
    <row r="30" spans="1:24" x14ac:dyDescent="0.3">
      <c r="A30" s="25"/>
      <c r="B30" s="25"/>
      <c r="C30" s="25"/>
      <c r="D30" s="25"/>
      <c r="E30" s="25"/>
      <c r="F30" s="25"/>
      <c r="G30" s="25"/>
      <c r="H30" s="25"/>
      <c r="I30" s="25"/>
      <c r="J30" s="25"/>
      <c r="K30" s="25"/>
      <c r="L30" s="25"/>
      <c r="M30" s="25"/>
      <c r="N30" s="25"/>
      <c r="O30" s="25"/>
      <c r="P30" s="25"/>
      <c r="Q30" s="25"/>
      <c r="R30" s="25"/>
      <c r="S30" s="25"/>
      <c r="T30" s="25"/>
      <c r="U30" s="25"/>
      <c r="V30" s="25"/>
      <c r="W30" s="25"/>
      <c r="X30" s="25"/>
    </row>
    <row r="31" spans="1:24" x14ac:dyDescent="0.3">
      <c r="A31" s="25"/>
      <c r="B31" s="25"/>
      <c r="C31" s="25"/>
      <c r="D31" s="25"/>
      <c r="E31" s="25"/>
      <c r="F31" s="25"/>
      <c r="G31" s="25"/>
      <c r="H31" s="25"/>
      <c r="I31" s="25"/>
      <c r="J31" s="25"/>
      <c r="K31" s="25"/>
      <c r="L31" s="25"/>
      <c r="M31" s="25"/>
      <c r="N31" s="25"/>
      <c r="O31" s="25"/>
      <c r="P31" s="25"/>
      <c r="Q31" s="25"/>
      <c r="R31" s="25"/>
      <c r="S31" s="25"/>
      <c r="T31" s="25"/>
      <c r="U31" s="25"/>
      <c r="V31" s="25"/>
      <c r="W31" s="25"/>
      <c r="X31" s="25"/>
    </row>
    <row r="32" spans="1:24" x14ac:dyDescent="0.3">
      <c r="A32" s="25"/>
      <c r="B32" s="25"/>
      <c r="C32" s="25"/>
      <c r="D32" s="25"/>
      <c r="E32" s="25"/>
      <c r="F32" s="25"/>
      <c r="G32" s="25"/>
      <c r="H32" s="25"/>
      <c r="I32" s="25"/>
      <c r="J32" s="25"/>
      <c r="K32" s="25"/>
      <c r="L32" s="25"/>
      <c r="M32" s="25"/>
      <c r="N32" s="25"/>
      <c r="O32" s="25"/>
      <c r="P32" s="25"/>
      <c r="Q32" s="25"/>
      <c r="R32" s="25"/>
      <c r="S32" s="25"/>
      <c r="T32" s="25"/>
      <c r="U32" s="25"/>
      <c r="V32" s="25"/>
      <c r="W32" s="25"/>
      <c r="X32" s="25"/>
    </row>
    <row r="33" spans="1:24" x14ac:dyDescent="0.3">
      <c r="A33" s="25"/>
      <c r="B33" s="25"/>
      <c r="C33" s="25"/>
      <c r="D33" s="25"/>
      <c r="E33" s="25"/>
      <c r="F33" s="25"/>
      <c r="G33" s="25"/>
      <c r="H33" s="25"/>
      <c r="I33" s="25"/>
      <c r="J33" s="25"/>
      <c r="K33" s="25"/>
      <c r="L33" s="25"/>
      <c r="M33" s="25"/>
      <c r="N33" s="25"/>
      <c r="O33" s="25"/>
      <c r="P33" s="25"/>
      <c r="Q33" s="25"/>
      <c r="R33" s="25"/>
      <c r="S33" s="25"/>
      <c r="T33" s="25"/>
      <c r="U33" s="25"/>
      <c r="V33" s="25"/>
      <c r="W33" s="25"/>
      <c r="X33" s="25"/>
    </row>
    <row r="34" spans="1:24" x14ac:dyDescent="0.3">
      <c r="A34" s="25"/>
      <c r="B34" s="25"/>
      <c r="C34" s="25"/>
      <c r="D34" s="25"/>
      <c r="E34" s="25"/>
      <c r="F34" s="25"/>
      <c r="G34" s="25"/>
      <c r="H34" s="25"/>
      <c r="I34" s="25"/>
      <c r="J34" s="25"/>
      <c r="K34" s="25"/>
      <c r="L34" s="25"/>
      <c r="M34" s="25"/>
      <c r="N34" s="25"/>
      <c r="O34" s="25"/>
      <c r="P34" s="25"/>
      <c r="Q34" s="25"/>
      <c r="R34" s="25"/>
      <c r="S34" s="25"/>
      <c r="T34" s="25"/>
      <c r="U34" s="25"/>
      <c r="V34" s="25"/>
      <c r="W34" s="25"/>
      <c r="X34" s="25"/>
    </row>
    <row r="35" spans="1:24" x14ac:dyDescent="0.3">
      <c r="A35" s="25"/>
      <c r="B35" s="25"/>
      <c r="C35" s="25"/>
      <c r="D35" s="25"/>
      <c r="E35" s="25"/>
      <c r="F35" s="25"/>
      <c r="G35" s="25"/>
      <c r="H35" s="25"/>
      <c r="I35" s="25"/>
      <c r="J35" s="25"/>
      <c r="K35" s="25"/>
      <c r="L35" s="25"/>
      <c r="M35" s="25"/>
      <c r="N35" s="25"/>
      <c r="O35" s="25"/>
      <c r="P35" s="25"/>
      <c r="Q35" s="25"/>
      <c r="R35" s="25"/>
      <c r="S35" s="25"/>
      <c r="T35" s="25"/>
      <c r="U35" s="25"/>
      <c r="V35" s="25"/>
      <c r="W35" s="25"/>
      <c r="X35" s="25"/>
    </row>
    <row r="36" spans="1:24" x14ac:dyDescent="0.3">
      <c r="A36" s="25"/>
      <c r="B36" s="25"/>
      <c r="C36" s="25"/>
      <c r="D36" s="25"/>
      <c r="E36" s="25"/>
      <c r="F36" s="25"/>
      <c r="G36" s="25"/>
      <c r="H36" s="25"/>
      <c r="I36" s="25"/>
      <c r="J36" s="25"/>
      <c r="K36" s="25"/>
      <c r="L36" s="25"/>
      <c r="M36" s="25"/>
      <c r="N36" s="25"/>
      <c r="O36" s="25"/>
      <c r="P36" s="25"/>
      <c r="Q36" s="25"/>
      <c r="R36" s="25"/>
      <c r="S36" s="25"/>
      <c r="T36" s="25"/>
      <c r="U36" s="25"/>
      <c r="V36" s="25"/>
      <c r="W36" s="25"/>
      <c r="X36" s="25"/>
    </row>
    <row r="37" spans="1:24"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076A1-91A4-4FBC-908D-7890555FDD13}">
  <dimension ref="A1:A8"/>
  <sheetViews>
    <sheetView workbookViewId="0">
      <selection sqref="A1:A8"/>
    </sheetView>
  </sheetViews>
  <sheetFormatPr defaultRowHeight="14.4" x14ac:dyDescent="0.3"/>
  <cols>
    <col min="1" max="1" width="38.109375" customWidth="1"/>
  </cols>
  <sheetData>
    <row r="1" spans="1:1" x14ac:dyDescent="0.3">
      <c r="A1" t="s">
        <v>19</v>
      </c>
    </row>
    <row r="2" spans="1:1" x14ac:dyDescent="0.3">
      <c r="A2" t="s">
        <v>20</v>
      </c>
    </row>
    <row r="3" spans="1:1" x14ac:dyDescent="0.3">
      <c r="A3" t="s">
        <v>21</v>
      </c>
    </row>
    <row r="4" spans="1:1" x14ac:dyDescent="0.3">
      <c r="A4" t="s">
        <v>22</v>
      </c>
    </row>
    <row r="5" spans="1:1" x14ac:dyDescent="0.3">
      <c r="A5" t="s">
        <v>28</v>
      </c>
    </row>
    <row r="6" spans="1:1" x14ac:dyDescent="0.3">
      <c r="A6" t="s">
        <v>29</v>
      </c>
    </row>
    <row r="7" spans="1:1" x14ac:dyDescent="0.3">
      <c r="A7" t="s">
        <v>30</v>
      </c>
    </row>
    <row r="8" spans="1:1" x14ac:dyDescent="0.3">
      <c r="A8"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 Copy</vt:lpstr>
      <vt:lpstr>Data set</vt:lpstr>
      <vt:lpstr>Pivot Table</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Shamu</dc:creator>
  <cp:lastModifiedBy>Shamu</cp:lastModifiedBy>
  <dcterms:created xsi:type="dcterms:W3CDTF">2026-03-03T07:13:46Z</dcterms:created>
  <dcterms:modified xsi:type="dcterms:W3CDTF">2026-03-03T11:25:18Z</dcterms:modified>
</cp:coreProperties>
</file>